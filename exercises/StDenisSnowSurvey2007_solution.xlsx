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378/USASK/teaching/BNU_ColdRegionsHydrology/data/"/>
    </mc:Choice>
  </mc:AlternateContent>
  <xr:revisionPtr revIDLastSave="0" documentId="13_ncr:1_{66BC25B7-CF85-644E-951B-415D69B846E6}" xr6:coauthVersionLast="47" xr6:coauthVersionMax="47" xr10:uidLastSave="{00000000-0000-0000-0000-000000000000}"/>
  <bookViews>
    <workbookView xWindow="0" yWindow="500" windowWidth="38400" windowHeight="21100" activeTab="1" xr2:uid="{D3F11DC6-B8C0-3946-831E-E04C210AE7C4}"/>
  </bookViews>
  <sheets>
    <sheet name="DensityMeasurements" sheetId="1" r:id="rId1"/>
    <sheet name="North south transect" sheetId="2" r:id="rId2"/>
    <sheet name="East west transec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2" i="2"/>
  <c r="D36" i="2"/>
  <c r="D37" i="2"/>
  <c r="D38" i="2"/>
  <c r="D39" i="2"/>
  <c r="D40" i="2"/>
  <c r="D41" i="2"/>
  <c r="D42" i="2"/>
  <c r="D43" i="2"/>
  <c r="D35" i="2"/>
  <c r="D32" i="2"/>
  <c r="D33" i="2"/>
  <c r="D34" i="2"/>
  <c r="D31" i="2"/>
  <c r="D28" i="2"/>
  <c r="D29" i="2"/>
  <c r="D30" i="2"/>
  <c r="D27" i="2"/>
  <c r="D25" i="2"/>
  <c r="D26" i="2"/>
  <c r="D21" i="2"/>
  <c r="D22" i="2"/>
  <c r="D23" i="2"/>
  <c r="D24" i="2"/>
  <c r="D20" i="2"/>
  <c r="D17" i="2"/>
  <c r="D18" i="2"/>
  <c r="D19" i="2"/>
  <c r="D16" i="2"/>
  <c r="D2" i="2"/>
  <c r="D4" i="2"/>
  <c r="D5" i="2"/>
  <c r="D6" i="2"/>
  <c r="D7" i="2"/>
  <c r="D8" i="2"/>
  <c r="D9" i="2"/>
  <c r="D10" i="2"/>
  <c r="D11" i="2"/>
  <c r="D12" i="2"/>
  <c r="D13" i="2"/>
  <c r="D14" i="2"/>
  <c r="D15" i="2"/>
  <c r="D3" i="2"/>
  <c r="H8" i="1"/>
  <c r="H10" i="1"/>
  <c r="H11" i="1"/>
  <c r="H9" i="1"/>
  <c r="H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G2" i="1"/>
  <c r="G3" i="1" s="1"/>
</calcChain>
</file>

<file path=xl/sharedStrings.xml><?xml version="1.0" encoding="utf-8"?>
<sst xmlns="http://schemas.openxmlformats.org/spreadsheetml/2006/main" count="158" uniqueCount="39">
  <si>
    <t>Type</t>
  </si>
  <si>
    <t>Depth (m)</t>
  </si>
  <si>
    <t>Mass (g)</t>
  </si>
  <si>
    <t>Stubble</t>
  </si>
  <si>
    <t>Brome</t>
  </si>
  <si>
    <t>Crop weedy, unharvested?</t>
  </si>
  <si>
    <t>On ice inside tree ring</t>
  </si>
  <si>
    <t>Trees</t>
  </si>
  <si>
    <t>Uncut flax</t>
  </si>
  <si>
    <t>Volunteer grass</t>
  </si>
  <si>
    <t>Tame grass</t>
  </si>
  <si>
    <t>Paces</t>
  </si>
  <si>
    <t>Description</t>
  </si>
  <si>
    <t>Top of ridge</t>
  </si>
  <si>
    <t>Poplar</t>
  </si>
  <si>
    <t>Willows</t>
  </si>
  <si>
    <t>On ice</t>
  </si>
  <si>
    <t>Centre stk ~88</t>
  </si>
  <si>
    <t>WE transect crossing where centre stack is beleived to be, on ice</t>
  </si>
  <si>
    <t>Weeds and uncut flax</t>
  </si>
  <si>
    <t>Top of hill</t>
  </si>
  <si>
    <t>Top of hill at buried metal.</t>
  </si>
  <si>
    <t>Poplars</t>
  </si>
  <si>
    <t>Approx. centre, can not find centre stack under the ice</t>
  </si>
  <si>
    <t>Poplar inside edge, on ice</t>
  </si>
  <si>
    <t>Snow tube dia</t>
  </si>
  <si>
    <t>mm</t>
  </si>
  <si>
    <t>dia</t>
  </si>
  <si>
    <t>m</t>
  </si>
  <si>
    <t>area</t>
  </si>
  <si>
    <t>m2</t>
  </si>
  <si>
    <t>Volume (m3)</t>
  </si>
  <si>
    <t>rhoS (kg/m3)</t>
  </si>
  <si>
    <t>Ave rhoS</t>
  </si>
  <si>
    <t>Crop</t>
  </si>
  <si>
    <t>Pond</t>
  </si>
  <si>
    <t>rhoS</t>
  </si>
  <si>
    <t>SWE (mm)</t>
  </si>
  <si>
    <t>Site average 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</si>
</sst>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70" fontId="0" fillId="0" borderId="0" xfId="0" applyNumberFormat="1"/>
    <xf numFmtId="0" fontId="0" fillId="33" borderId="0" xfId="0" applyFill="1"/>
    <xf numFmtId="170" fontId="0" fillId="33" borderId="0" xfId="0" applyNumberFormat="1" applyFill="1"/>
    <xf numFmtId="0" fontId="0" fillId="34" borderId="0" xfId="0" applyFill="1"/>
    <xf numFmtId="170" fontId="0" fillId="34" borderId="0" xfId="0" applyNumberFormat="1" applyFill="1"/>
    <xf numFmtId="0" fontId="0" fillId="35" borderId="0" xfId="0" applyFill="1"/>
    <xf numFmtId="170" fontId="0" fillId="35" borderId="0" xfId="0" applyNumberFormat="1" applyFill="1"/>
    <xf numFmtId="0" fontId="0" fillId="36" borderId="0" xfId="0" applyFill="1"/>
    <xf numFmtId="170" fontId="0" fillId="36" borderId="0" xfId="0" applyNumberFormat="1" applyFill="1"/>
    <xf numFmtId="0" fontId="0" fillId="37" borderId="0" xfId="0" applyFill="1"/>
    <xf numFmtId="170" fontId="0" fillId="37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'North south transect'!$E$1</c:f>
              <c:strCache>
                <c:ptCount val="1"/>
                <c:pt idx="0">
                  <c:v>SWE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'North south transect'!$A$2:$A$43</c:f>
              <c:numCache>
                <c:formatCode>General</c:formatCode>
                <c:ptCount val="42"/>
                <c:pt idx="0">
                  <c:v>-145</c:v>
                </c:pt>
                <c:pt idx="1">
                  <c:v>-135</c:v>
                </c:pt>
                <c:pt idx="2">
                  <c:v>-125</c:v>
                </c:pt>
                <c:pt idx="3">
                  <c:v>-115</c:v>
                </c:pt>
                <c:pt idx="4">
                  <c:v>-105</c:v>
                </c:pt>
                <c:pt idx="5">
                  <c:v>-100</c:v>
                </c:pt>
                <c:pt idx="6">
                  <c:v>-95</c:v>
                </c:pt>
                <c:pt idx="7">
                  <c:v>-90</c:v>
                </c:pt>
                <c:pt idx="8">
                  <c:v>-85</c:v>
                </c:pt>
                <c:pt idx="9">
                  <c:v>-80</c:v>
                </c:pt>
                <c:pt idx="10">
                  <c:v>-75</c:v>
                </c:pt>
                <c:pt idx="11">
                  <c:v>-70</c:v>
                </c:pt>
                <c:pt idx="12">
                  <c:v>-65</c:v>
                </c:pt>
                <c:pt idx="13">
                  <c:v>-60</c:v>
                </c:pt>
                <c:pt idx="14">
                  <c:v>-55</c:v>
                </c:pt>
                <c:pt idx="15">
                  <c:v>-50</c:v>
                </c:pt>
                <c:pt idx="16">
                  <c:v>-45</c:v>
                </c:pt>
                <c:pt idx="17">
                  <c:v>-40</c:v>
                </c:pt>
                <c:pt idx="18">
                  <c:v>-35</c:v>
                </c:pt>
                <c:pt idx="19">
                  <c:v>-30</c:v>
                </c:pt>
                <c:pt idx="20">
                  <c:v>-25</c:v>
                </c:pt>
                <c:pt idx="21">
                  <c:v>-20</c:v>
                </c:pt>
                <c:pt idx="22">
                  <c:v>-15</c:v>
                </c:pt>
                <c:pt idx="23">
                  <c:v>-10</c:v>
                </c:pt>
                <c:pt idx="24">
                  <c:v>-5</c:v>
                </c:pt>
                <c:pt idx="25">
                  <c:v>0</c:v>
                </c:pt>
                <c:pt idx="26">
                  <c:v>5</c:v>
                </c:pt>
                <c:pt idx="27">
                  <c:v>10</c:v>
                </c:pt>
                <c:pt idx="28">
                  <c:v>15</c:v>
                </c:pt>
                <c:pt idx="29">
                  <c:v>20</c:v>
                </c:pt>
                <c:pt idx="30">
                  <c:v>25</c:v>
                </c:pt>
                <c:pt idx="31">
                  <c:v>30</c:v>
                </c:pt>
                <c:pt idx="32">
                  <c:v>35</c:v>
                </c:pt>
                <c:pt idx="33">
                  <c:v>40</c:v>
                </c:pt>
                <c:pt idx="34">
                  <c:v>45</c:v>
                </c:pt>
                <c:pt idx="35">
                  <c:v>50</c:v>
                </c:pt>
                <c:pt idx="36">
                  <c:v>55</c:v>
                </c:pt>
                <c:pt idx="37">
                  <c:v>60</c:v>
                </c:pt>
                <c:pt idx="38">
                  <c:v>65</c:v>
                </c:pt>
                <c:pt idx="39">
                  <c:v>70</c:v>
                </c:pt>
                <c:pt idx="40">
                  <c:v>75</c:v>
                </c:pt>
                <c:pt idx="41">
                  <c:v>80</c:v>
                </c:pt>
              </c:numCache>
            </c:numRef>
          </c:xVal>
          <c:yVal>
            <c:numRef>
              <c:f>'North south transect'!$E$2:$E$43</c:f>
              <c:numCache>
                <c:formatCode>0.0</c:formatCode>
                <c:ptCount val="42"/>
                <c:pt idx="0">
                  <c:v>79.525358403589735</c:v>
                </c:pt>
                <c:pt idx="1">
                  <c:v>74.394690119487166</c:v>
                </c:pt>
                <c:pt idx="2">
                  <c:v>97.482697397948698</c:v>
                </c:pt>
                <c:pt idx="3">
                  <c:v>123.13603881846151</c:v>
                </c:pt>
                <c:pt idx="4">
                  <c:v>138.52804367076922</c:v>
                </c:pt>
                <c:pt idx="5">
                  <c:v>151.35471438102562</c:v>
                </c:pt>
                <c:pt idx="6">
                  <c:v>130.83204124461537</c:v>
                </c:pt>
                <c:pt idx="7">
                  <c:v>88.504027900769216</c:v>
                </c:pt>
                <c:pt idx="8">
                  <c:v>83.373359616666662</c:v>
                </c:pt>
                <c:pt idx="9">
                  <c:v>62.850686480256392</c:v>
                </c:pt>
                <c:pt idx="10">
                  <c:v>75.677357190512808</c:v>
                </c:pt>
                <c:pt idx="11">
                  <c:v>76.96002426153845</c:v>
                </c:pt>
                <c:pt idx="12">
                  <c:v>115.44003639230768</c:v>
                </c:pt>
                <c:pt idx="13">
                  <c:v>157.76804973615381</c:v>
                </c:pt>
                <c:pt idx="14">
                  <c:v>338.10901310252893</c:v>
                </c:pt>
                <c:pt idx="15">
                  <c:v>456.28303709952928</c:v>
                </c:pt>
                <c:pt idx="16">
                  <c:v>475.97870776569607</c:v>
                </c:pt>
                <c:pt idx="17">
                  <c:v>387.34818976794577</c:v>
                </c:pt>
                <c:pt idx="18">
                  <c:v>191.57322991620219</c:v>
                </c:pt>
                <c:pt idx="19">
                  <c:v>104.23837510146295</c:v>
                </c:pt>
                <c:pt idx="20">
                  <c:v>83.108974743058297</c:v>
                </c:pt>
                <c:pt idx="21">
                  <c:v>71.839961218575823</c:v>
                </c:pt>
                <c:pt idx="22">
                  <c:v>67.61408114689489</c:v>
                </c:pt>
                <c:pt idx="23">
                  <c:v>76.065841290256756</c:v>
                </c:pt>
                <c:pt idx="24">
                  <c:v>60.570947694093341</c:v>
                </c:pt>
                <c:pt idx="25">
                  <c:v>56.345067622412415</c:v>
                </c:pt>
                <c:pt idx="26">
                  <c:v>74.657214599696445</c:v>
                </c:pt>
                <c:pt idx="27">
                  <c:v>85.92622812417892</c:v>
                </c:pt>
                <c:pt idx="28">
                  <c:v>107.05562848258359</c:v>
                </c:pt>
                <c:pt idx="29">
                  <c:v>160.84797710702833</c:v>
                </c:pt>
                <c:pt idx="30">
                  <c:v>173.97842421780615</c:v>
                </c:pt>
                <c:pt idx="31">
                  <c:v>164.13058888472278</c:v>
                </c:pt>
                <c:pt idx="32">
                  <c:v>196.95670666166734</c:v>
                </c:pt>
                <c:pt idx="33">
                  <c:v>175.14450357428959</c:v>
                </c:pt>
                <c:pt idx="34">
                  <c:v>145.95375297857467</c:v>
                </c:pt>
                <c:pt idx="35">
                  <c:v>116.76300238285974</c:v>
                </c:pt>
                <c:pt idx="36">
                  <c:v>128.43930262114571</c:v>
                </c:pt>
                <c:pt idx="37">
                  <c:v>113.84392732328824</c:v>
                </c:pt>
                <c:pt idx="38">
                  <c:v>91.950864376502039</c:v>
                </c:pt>
                <c:pt idx="39">
                  <c:v>49.624276012715391</c:v>
                </c:pt>
                <c:pt idx="40">
                  <c:v>55.462426131858372</c:v>
                </c:pt>
                <c:pt idx="41">
                  <c:v>37.947975774429416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17-424B-895E-B7D3747DC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030000"/>
        <c:axId val="224031728"/>
      </c:scatterChart>
      <c:valAx>
        <c:axId val="22403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31728"/>
        <c:crosses val="autoZero"/>
        <c:crossBetween val="midCat"/>
      </c:valAx>
      <c:valAx>
        <c:axId val="2240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7</xdr:row>
      <xdr:rowOff>146050</xdr:rowOff>
    </xdr:from>
    <xdr:to>
      <xdr:col>11</xdr:col>
      <xdr:colOff>768350</xdr:colOff>
      <xdr:row>21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58CA4-F675-73AC-DF4E-B6216305A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3473-7916-994A-8DBB-484BF841B683}">
  <dimension ref="A1:H31"/>
  <sheetViews>
    <sheetView zoomScale="160" zoomScaleNormal="160" workbookViewId="0">
      <selection activeCell="G6" sqref="G6:H11"/>
    </sheetView>
  </sheetViews>
  <sheetFormatPr baseColWidth="10" defaultRowHeight="16" x14ac:dyDescent="0.2"/>
  <cols>
    <col min="1" max="1" width="29.1640625" customWidth="1"/>
    <col min="5" max="5" width="16.6640625" customWidth="1"/>
    <col min="6" max="6" width="12.33203125" bestFit="1" customWidth="1"/>
    <col min="8" max="8" width="12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25</v>
      </c>
      <c r="G1">
        <v>61.5</v>
      </c>
      <c r="H1" t="s">
        <v>26</v>
      </c>
    </row>
    <row r="2" spans="1:8" x14ac:dyDescent="0.2">
      <c r="A2" s="2" t="s">
        <v>3</v>
      </c>
      <c r="B2" s="2">
        <v>0.17</v>
      </c>
      <c r="C2" s="2">
        <v>160.55000000000001</v>
      </c>
      <c r="D2" s="2">
        <f>B2*$G$3</f>
        <v>5.0499684804374998E-4</v>
      </c>
      <c r="E2" s="3">
        <f>C2/1000/D2</f>
        <v>317.92277639342984</v>
      </c>
      <c r="F2" t="s">
        <v>27</v>
      </c>
      <c r="G2">
        <f>G1/1000</f>
        <v>6.1499999999999999E-2</v>
      </c>
      <c r="H2" t="s">
        <v>28</v>
      </c>
    </row>
    <row r="3" spans="1:8" x14ac:dyDescent="0.2">
      <c r="A3" s="2" t="s">
        <v>3</v>
      </c>
      <c r="B3" s="2">
        <v>0.28000000000000003</v>
      </c>
      <c r="C3" s="2">
        <v>249.84</v>
      </c>
      <c r="D3" s="2">
        <f t="shared" ref="D3:D31" si="0">B3*$G$3</f>
        <v>8.3175951442500005E-4</v>
      </c>
      <c r="E3" s="3">
        <f t="shared" ref="E3:E34" si="1">C3/1000/D3</f>
        <v>300.37528356103718</v>
      </c>
      <c r="F3" t="s">
        <v>29</v>
      </c>
      <c r="G3">
        <f>3.14159*(G2/2)^2</f>
        <v>2.9705696943749999E-3</v>
      </c>
      <c r="H3" t="s">
        <v>30</v>
      </c>
    </row>
    <row r="4" spans="1:8" x14ac:dyDescent="0.2">
      <c r="A4" s="2" t="s">
        <v>3</v>
      </c>
      <c r="B4" s="2">
        <v>0.23</v>
      </c>
      <c r="C4" s="2">
        <v>179.79</v>
      </c>
      <c r="D4" s="2">
        <f t="shared" si="0"/>
        <v>6.8323102970625001E-4</v>
      </c>
      <c r="E4" s="3">
        <f t="shared" si="1"/>
        <v>263.1467134584027</v>
      </c>
    </row>
    <row r="5" spans="1:8" x14ac:dyDescent="0.2">
      <c r="A5" s="2" t="s">
        <v>3</v>
      </c>
      <c r="B5" s="2">
        <v>0.26</v>
      </c>
      <c r="C5" s="2">
        <v>175.16</v>
      </c>
      <c r="D5" s="2">
        <f t="shared" si="0"/>
        <v>7.7234812053749997E-4</v>
      </c>
      <c r="E5" s="3">
        <f t="shared" si="1"/>
        <v>226.78892502269699</v>
      </c>
    </row>
    <row r="6" spans="1:8" x14ac:dyDescent="0.2">
      <c r="A6" s="2" t="s">
        <v>3</v>
      </c>
      <c r="B6" s="2">
        <v>0.16</v>
      </c>
      <c r="C6" s="2">
        <v>141.15</v>
      </c>
      <c r="D6" s="2">
        <f t="shared" si="0"/>
        <v>4.752911511E-4</v>
      </c>
      <c r="E6" s="3">
        <f t="shared" si="1"/>
        <v>296.97586347510691</v>
      </c>
      <c r="G6" t="s">
        <v>0</v>
      </c>
      <c r="H6" t="s">
        <v>33</v>
      </c>
    </row>
    <row r="7" spans="1:8" x14ac:dyDescent="0.2">
      <c r="A7" s="4" t="s">
        <v>4</v>
      </c>
      <c r="B7" s="4">
        <v>0.4</v>
      </c>
      <c r="C7" s="4">
        <v>297.72000000000003</v>
      </c>
      <c r="D7" s="4">
        <f t="shared" si="0"/>
        <v>1.1882278777500001E-3</v>
      </c>
      <c r="E7" s="5">
        <f t="shared" si="1"/>
        <v>250.55799950069806</v>
      </c>
      <c r="G7" t="s">
        <v>3</v>
      </c>
      <c r="H7" s="1">
        <f>AVERAGE(E2:E6)</f>
        <v>281.04191238213474</v>
      </c>
    </row>
    <row r="8" spans="1:8" x14ac:dyDescent="0.2">
      <c r="A8" s="4" t="s">
        <v>4</v>
      </c>
      <c r="B8" s="4">
        <v>0.43</v>
      </c>
      <c r="C8" s="4">
        <v>352.2</v>
      </c>
      <c r="D8" s="4">
        <f t="shared" si="0"/>
        <v>1.2773449685812498E-3</v>
      </c>
      <c r="E8" s="5">
        <f t="shared" si="1"/>
        <v>275.72817732330321</v>
      </c>
      <c r="G8" t="s">
        <v>4</v>
      </c>
      <c r="H8" s="1">
        <f>(SUM(E7:E14)+E30+E31)/10</f>
        <v>256.53341420512817</v>
      </c>
    </row>
    <row r="9" spans="1:8" x14ac:dyDescent="0.2">
      <c r="A9" s="4" t="s">
        <v>4</v>
      </c>
      <c r="B9" s="4">
        <v>0.33</v>
      </c>
      <c r="C9" s="4">
        <v>246.35</v>
      </c>
      <c r="D9" s="4">
        <f t="shared" si="0"/>
        <v>9.8028799914374998E-4</v>
      </c>
      <c r="E9" s="5">
        <f t="shared" si="1"/>
        <v>251.30369872443484</v>
      </c>
      <c r="G9" t="s">
        <v>34</v>
      </c>
      <c r="H9" s="1">
        <f>(SUM(E15:E17)+SUM(E22:E26))/8</f>
        <v>291.90750595714934</v>
      </c>
    </row>
    <row r="10" spans="1:8" x14ac:dyDescent="0.2">
      <c r="A10" s="4" t="s">
        <v>4</v>
      </c>
      <c r="B10" s="4">
        <v>0.32</v>
      </c>
      <c r="C10" s="4">
        <v>225.05</v>
      </c>
      <c r="D10" s="4">
        <f t="shared" si="0"/>
        <v>9.505823022E-4</v>
      </c>
      <c r="E10" s="5">
        <f t="shared" si="1"/>
        <v>236.74962123653137</v>
      </c>
      <c r="G10" t="s">
        <v>35</v>
      </c>
      <c r="H10" s="1">
        <f>(SUM(E18:E20)+E27)/4</f>
        <v>281.72533811206205</v>
      </c>
    </row>
    <row r="11" spans="1:8" x14ac:dyDescent="0.2">
      <c r="A11" s="4" t="s">
        <v>4</v>
      </c>
      <c r="B11" s="4">
        <v>0.3</v>
      </c>
      <c r="C11" s="4">
        <v>224.14</v>
      </c>
      <c r="D11" s="4">
        <f t="shared" si="0"/>
        <v>8.9117090831249992E-4</v>
      </c>
      <c r="E11" s="5">
        <f t="shared" si="1"/>
        <v>251.51180083338465</v>
      </c>
      <c r="G11" t="s">
        <v>7</v>
      </c>
      <c r="H11" s="1">
        <f>(E21+E28+E29)/3</f>
        <v>328.26117776944557</v>
      </c>
    </row>
    <row r="12" spans="1:8" x14ac:dyDescent="0.2">
      <c r="A12" s="4" t="s">
        <v>4</v>
      </c>
      <c r="B12" s="4">
        <v>0.33</v>
      </c>
      <c r="C12" s="4">
        <v>259.24</v>
      </c>
      <c r="D12" s="4">
        <f t="shared" si="0"/>
        <v>9.8028799914374998E-4</v>
      </c>
      <c r="E12" s="5">
        <f t="shared" si="1"/>
        <v>264.45289570660645</v>
      </c>
    </row>
    <row r="13" spans="1:8" x14ac:dyDescent="0.2">
      <c r="A13" s="4" t="s">
        <v>4</v>
      </c>
      <c r="B13" s="4">
        <v>0.35</v>
      </c>
      <c r="C13" s="4">
        <v>268.99</v>
      </c>
      <c r="D13" s="4">
        <f t="shared" si="0"/>
        <v>1.03969939303125E-3</v>
      </c>
      <c r="E13" s="5">
        <f t="shared" si="1"/>
        <v>258.71901224810568</v>
      </c>
    </row>
    <row r="14" spans="1:8" x14ac:dyDescent="0.2">
      <c r="A14" s="4" t="s">
        <v>4</v>
      </c>
      <c r="B14" s="4">
        <v>0.76</v>
      </c>
      <c r="C14" s="4">
        <v>651.41</v>
      </c>
      <c r="D14" s="4">
        <f t="shared" si="0"/>
        <v>2.2576329677249998E-3</v>
      </c>
      <c r="E14" s="5">
        <f t="shared" si="1"/>
        <v>288.53671491890952</v>
      </c>
    </row>
    <row r="15" spans="1:8" x14ac:dyDescent="0.2">
      <c r="A15" s="6" t="s">
        <v>5</v>
      </c>
      <c r="B15" s="6">
        <v>0.28999999999999998</v>
      </c>
      <c r="C15" s="6">
        <v>267.83</v>
      </c>
      <c r="D15" s="6">
        <f t="shared" si="0"/>
        <v>8.6146521136874993E-4</v>
      </c>
      <c r="E15" s="7">
        <f t="shared" si="1"/>
        <v>310.90054068980322</v>
      </c>
    </row>
    <row r="16" spans="1:8" x14ac:dyDescent="0.2">
      <c r="A16" s="6" t="s">
        <v>5</v>
      </c>
      <c r="B16" s="6">
        <v>0.3</v>
      </c>
      <c r="C16" s="6">
        <v>242.74</v>
      </c>
      <c r="D16" s="6">
        <f t="shared" si="0"/>
        <v>8.9117090831249992E-4</v>
      </c>
      <c r="E16" s="7">
        <f t="shared" si="1"/>
        <v>272.38321823099761</v>
      </c>
    </row>
    <row r="17" spans="1:5" x14ac:dyDescent="0.2">
      <c r="A17" s="6" t="s">
        <v>5</v>
      </c>
      <c r="B17" s="6">
        <v>0.69</v>
      </c>
      <c r="C17" s="6">
        <v>515.34</v>
      </c>
      <c r="D17" s="6">
        <f t="shared" si="0"/>
        <v>2.0496930891187497E-3</v>
      </c>
      <c r="E17" s="7">
        <f t="shared" si="1"/>
        <v>251.42300705202973</v>
      </c>
    </row>
    <row r="18" spans="1:5" x14ac:dyDescent="0.2">
      <c r="A18" s="8" t="s">
        <v>6</v>
      </c>
      <c r="B18" s="8">
        <v>0.37</v>
      </c>
      <c r="C18" s="8">
        <v>285.14999999999998</v>
      </c>
      <c r="D18" s="8">
        <f t="shared" si="0"/>
        <v>1.0991107869187499E-3</v>
      </c>
      <c r="E18" s="9">
        <f t="shared" si="1"/>
        <v>259.43699524539306</v>
      </c>
    </row>
    <row r="19" spans="1:5" x14ac:dyDescent="0.2">
      <c r="A19" s="8" t="s">
        <v>6</v>
      </c>
      <c r="B19" s="8">
        <v>0.2</v>
      </c>
      <c r="C19" s="8">
        <v>179.08</v>
      </c>
      <c r="D19" s="8">
        <f t="shared" si="0"/>
        <v>5.9411393887500005E-4</v>
      </c>
      <c r="E19" s="9">
        <f t="shared" si="1"/>
        <v>301.42366351326757</v>
      </c>
    </row>
    <row r="20" spans="1:5" x14ac:dyDescent="0.2">
      <c r="A20" s="8" t="s">
        <v>6</v>
      </c>
      <c r="B20" s="8">
        <v>0.61</v>
      </c>
      <c r="C20" s="8">
        <v>633.27</v>
      </c>
      <c r="D20" s="8">
        <f t="shared" si="0"/>
        <v>1.8120475135687498E-3</v>
      </c>
      <c r="E20" s="9">
        <f t="shared" si="1"/>
        <v>349.47759109958542</v>
      </c>
    </row>
    <row r="21" spans="1:5" x14ac:dyDescent="0.2">
      <c r="A21" s="10" t="s">
        <v>7</v>
      </c>
      <c r="B21" s="10">
        <v>0.87</v>
      </c>
      <c r="C21" s="10">
        <v>811.61</v>
      </c>
      <c r="D21" s="10">
        <f t="shared" si="0"/>
        <v>2.5843956341062499E-3</v>
      </c>
      <c r="E21" s="11">
        <f t="shared" si="1"/>
        <v>314.04247449159448</v>
      </c>
    </row>
    <row r="22" spans="1:5" x14ac:dyDescent="0.2">
      <c r="A22" s="6" t="s">
        <v>5</v>
      </c>
      <c r="B22" s="6">
        <v>0.37</v>
      </c>
      <c r="C22" s="6">
        <v>352.46</v>
      </c>
      <c r="D22" s="6">
        <f t="shared" si="0"/>
        <v>1.0991107869187499E-3</v>
      </c>
      <c r="E22" s="7">
        <f t="shared" si="1"/>
        <v>320.67740958860691</v>
      </c>
    </row>
    <row r="23" spans="1:5" x14ac:dyDescent="0.2">
      <c r="A23" s="6" t="s">
        <v>5</v>
      </c>
      <c r="B23" s="6">
        <v>0.59</v>
      </c>
      <c r="C23" s="6">
        <v>490.88</v>
      </c>
      <c r="D23" s="6">
        <f t="shared" si="0"/>
        <v>1.7526361196812498E-3</v>
      </c>
      <c r="E23" s="7">
        <f t="shared" si="1"/>
        <v>280.08095604538596</v>
      </c>
    </row>
    <row r="24" spans="1:5" x14ac:dyDescent="0.2">
      <c r="A24" s="6" t="s">
        <v>5</v>
      </c>
      <c r="B24" s="6">
        <v>0.24</v>
      </c>
      <c r="C24" s="6">
        <v>199.6</v>
      </c>
      <c r="D24" s="6">
        <f t="shared" si="0"/>
        <v>7.1293672665E-4</v>
      </c>
      <c r="E24" s="7">
        <f t="shared" si="1"/>
        <v>279.96874412389343</v>
      </c>
    </row>
    <row r="25" spans="1:5" x14ac:dyDescent="0.2">
      <c r="A25" s="6" t="s">
        <v>8</v>
      </c>
      <c r="B25" s="6">
        <v>0.19</v>
      </c>
      <c r="C25" s="6">
        <v>209.33</v>
      </c>
      <c r="D25" s="6">
        <f t="shared" si="0"/>
        <v>5.6440824193124996E-4</v>
      </c>
      <c r="E25" s="7">
        <f t="shared" si="1"/>
        <v>370.88402409527237</v>
      </c>
    </row>
    <row r="26" spans="1:5" x14ac:dyDescent="0.2">
      <c r="A26" s="6" t="s">
        <v>8</v>
      </c>
      <c r="B26" s="6">
        <v>0.5</v>
      </c>
      <c r="C26" s="6">
        <v>369.75</v>
      </c>
      <c r="D26" s="6">
        <f t="shared" si="0"/>
        <v>1.4852848471875E-3</v>
      </c>
      <c r="E26" s="7">
        <f t="shared" si="1"/>
        <v>248.94214783120546</v>
      </c>
    </row>
    <row r="27" spans="1:5" x14ac:dyDescent="0.2">
      <c r="A27" s="8" t="s">
        <v>6</v>
      </c>
      <c r="B27" s="8">
        <v>0.38</v>
      </c>
      <c r="C27" s="8">
        <v>244.46</v>
      </c>
      <c r="D27" s="8">
        <f t="shared" si="0"/>
        <v>1.1288164838624999E-3</v>
      </c>
      <c r="E27" s="9">
        <f t="shared" si="1"/>
        <v>216.5631025900021</v>
      </c>
    </row>
    <row r="28" spans="1:5" x14ac:dyDescent="0.2">
      <c r="A28" s="10" t="s">
        <v>7</v>
      </c>
      <c r="B28" s="10">
        <v>1.39</v>
      </c>
      <c r="C28" s="10">
        <v>1494.8</v>
      </c>
      <c r="D28" s="10">
        <f t="shared" si="0"/>
        <v>4.1290918751812501E-3</v>
      </c>
      <c r="E28" s="11">
        <f t="shared" si="1"/>
        <v>362.01664801522111</v>
      </c>
    </row>
    <row r="29" spans="1:5" x14ac:dyDescent="0.2">
      <c r="A29" s="10" t="s">
        <v>7</v>
      </c>
      <c r="B29" s="10">
        <v>1.03</v>
      </c>
      <c r="C29" s="10">
        <v>944.6</v>
      </c>
      <c r="D29" s="10">
        <f t="shared" si="0"/>
        <v>3.0596867852062501E-3</v>
      </c>
      <c r="E29" s="11">
        <f t="shared" si="1"/>
        <v>308.72441080152117</v>
      </c>
    </row>
    <row r="30" spans="1:5" x14ac:dyDescent="0.2">
      <c r="A30" s="4" t="s">
        <v>9</v>
      </c>
      <c r="B30" s="4">
        <v>0.45</v>
      </c>
      <c r="C30" s="4">
        <v>323.8</v>
      </c>
      <c r="D30" s="4">
        <f t="shared" si="0"/>
        <v>1.33675636246875E-3</v>
      </c>
      <c r="E30" s="5">
        <f t="shared" si="1"/>
        <v>242.22813452856832</v>
      </c>
    </row>
    <row r="31" spans="1:5" x14ac:dyDescent="0.2">
      <c r="A31" s="4" t="s">
        <v>10</v>
      </c>
      <c r="B31" s="4">
        <v>0.51</v>
      </c>
      <c r="C31" s="4">
        <v>372</v>
      </c>
      <c r="D31" s="4">
        <f t="shared" si="0"/>
        <v>1.51499054413125E-3</v>
      </c>
      <c r="E31" s="5">
        <f t="shared" si="1"/>
        <v>245.54608703073995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DE7C-6906-004F-8FF7-A97160D4D1F1}">
  <dimension ref="A1:I43"/>
  <sheetViews>
    <sheetView tabSelected="1" zoomScale="200" zoomScaleNormal="200" workbookViewId="0">
      <selection activeCell="D2" sqref="D2:E2"/>
    </sheetView>
  </sheetViews>
  <sheetFormatPr baseColWidth="10" defaultRowHeight="16" x14ac:dyDescent="0.2"/>
  <cols>
    <col min="1" max="1" width="10.83203125" customWidth="1"/>
  </cols>
  <sheetData>
    <row r="1" spans="1:9" x14ac:dyDescent="0.2">
      <c r="A1" t="s">
        <v>11</v>
      </c>
      <c r="B1" t="s">
        <v>1</v>
      </c>
      <c r="C1" t="s">
        <v>12</v>
      </c>
      <c r="D1" t="s">
        <v>36</v>
      </c>
      <c r="E1" t="s">
        <v>37</v>
      </c>
      <c r="H1" t="s">
        <v>0</v>
      </c>
      <c r="I1" t="s">
        <v>33</v>
      </c>
    </row>
    <row r="2" spans="1:9" x14ac:dyDescent="0.2">
      <c r="A2">
        <v>-145</v>
      </c>
      <c r="B2">
        <v>0.31</v>
      </c>
      <c r="C2" t="s">
        <v>13</v>
      </c>
      <c r="D2">
        <f>$I$3</f>
        <v>256.53341420512817</v>
      </c>
      <c r="E2" s="1">
        <f>B2*D2/1000*1000</f>
        <v>79.525358403589735</v>
      </c>
      <c r="H2" t="s">
        <v>3</v>
      </c>
      <c r="I2">
        <v>281.04191238213474</v>
      </c>
    </row>
    <row r="3" spans="1:9" x14ac:dyDescent="0.2">
      <c r="A3">
        <v>-135</v>
      </c>
      <c r="B3">
        <v>0.28999999999999998</v>
      </c>
      <c r="C3" t="s">
        <v>10</v>
      </c>
      <c r="D3">
        <f>$I$3</f>
        <v>256.53341420512817</v>
      </c>
      <c r="E3" s="1">
        <f t="shared" ref="E3:E43" si="0">B3*D3/1000*1000</f>
        <v>74.394690119487166</v>
      </c>
      <c r="H3" t="s">
        <v>4</v>
      </c>
      <c r="I3">
        <v>256.53341420512817</v>
      </c>
    </row>
    <row r="4" spans="1:9" x14ac:dyDescent="0.2">
      <c r="A4">
        <v>-125</v>
      </c>
      <c r="B4">
        <v>0.38</v>
      </c>
      <c r="C4" t="s">
        <v>10</v>
      </c>
      <c r="D4">
        <f>$I$3</f>
        <v>256.53341420512817</v>
      </c>
      <c r="E4" s="1">
        <f t="shared" si="0"/>
        <v>97.482697397948698</v>
      </c>
      <c r="H4" t="s">
        <v>34</v>
      </c>
      <c r="I4">
        <v>291.90750595714934</v>
      </c>
    </row>
    <row r="5" spans="1:9" x14ac:dyDescent="0.2">
      <c r="A5">
        <v>-115</v>
      </c>
      <c r="B5">
        <v>0.48</v>
      </c>
      <c r="C5" t="s">
        <v>10</v>
      </c>
      <c r="D5">
        <f>$I$3</f>
        <v>256.53341420512817</v>
      </c>
      <c r="E5" s="1">
        <f t="shared" si="0"/>
        <v>123.13603881846151</v>
      </c>
      <c r="H5" t="s">
        <v>35</v>
      </c>
      <c r="I5">
        <v>281.72533811206205</v>
      </c>
    </row>
    <row r="6" spans="1:9" x14ac:dyDescent="0.2">
      <c r="A6">
        <v>-105</v>
      </c>
      <c r="B6">
        <v>0.54</v>
      </c>
      <c r="C6" t="s">
        <v>10</v>
      </c>
      <c r="D6">
        <f>$I$3</f>
        <v>256.53341420512817</v>
      </c>
      <c r="E6" s="1">
        <f t="shared" si="0"/>
        <v>138.52804367076922</v>
      </c>
      <c r="H6" t="s">
        <v>7</v>
      </c>
      <c r="I6">
        <v>328.26117776944557</v>
      </c>
    </row>
    <row r="7" spans="1:9" x14ac:dyDescent="0.2">
      <c r="A7">
        <v>-100</v>
      </c>
      <c r="B7">
        <v>0.59</v>
      </c>
      <c r="C7" t="s">
        <v>10</v>
      </c>
      <c r="D7">
        <f>$I$3</f>
        <v>256.53341420512817</v>
      </c>
      <c r="E7" s="1">
        <f t="shared" si="0"/>
        <v>151.35471438102562</v>
      </c>
    </row>
    <row r="8" spans="1:9" x14ac:dyDescent="0.2">
      <c r="A8">
        <v>-95</v>
      </c>
      <c r="B8">
        <v>0.51</v>
      </c>
      <c r="C8" t="s">
        <v>10</v>
      </c>
      <c r="D8">
        <f>$I$3</f>
        <v>256.53341420512817</v>
      </c>
      <c r="E8" s="1">
        <f t="shared" si="0"/>
        <v>130.83204124461537</v>
      </c>
    </row>
    <row r="9" spans="1:9" x14ac:dyDescent="0.2">
      <c r="A9">
        <v>-90</v>
      </c>
      <c r="B9">
        <v>0.34499999999999997</v>
      </c>
      <c r="C9" t="s">
        <v>10</v>
      </c>
      <c r="D9">
        <f>$I$3</f>
        <v>256.53341420512817</v>
      </c>
      <c r="E9" s="1">
        <f t="shared" si="0"/>
        <v>88.504027900769216</v>
      </c>
    </row>
    <row r="10" spans="1:9" x14ac:dyDescent="0.2">
      <c r="A10">
        <v>-85</v>
      </c>
      <c r="B10">
        <v>0.32500000000000001</v>
      </c>
      <c r="C10" t="s">
        <v>10</v>
      </c>
      <c r="D10">
        <f>$I$3</f>
        <v>256.53341420512817</v>
      </c>
      <c r="E10" s="1">
        <f t="shared" si="0"/>
        <v>83.373359616666662</v>
      </c>
    </row>
    <row r="11" spans="1:9" x14ac:dyDescent="0.2">
      <c r="A11">
        <v>-80</v>
      </c>
      <c r="B11">
        <v>0.245</v>
      </c>
      <c r="C11" t="s">
        <v>9</v>
      </c>
      <c r="D11">
        <f>$I$3</f>
        <v>256.53341420512817</v>
      </c>
      <c r="E11" s="1">
        <f t="shared" si="0"/>
        <v>62.850686480256392</v>
      </c>
    </row>
    <row r="12" spans="1:9" x14ac:dyDescent="0.2">
      <c r="A12">
        <v>-75</v>
      </c>
      <c r="B12">
        <v>0.29499999999999998</v>
      </c>
      <c r="C12" t="s">
        <v>9</v>
      </c>
      <c r="D12">
        <f>$I$3</f>
        <v>256.53341420512817</v>
      </c>
      <c r="E12" s="1">
        <f t="shared" si="0"/>
        <v>75.677357190512808</v>
      </c>
    </row>
    <row r="13" spans="1:9" x14ac:dyDescent="0.2">
      <c r="A13">
        <v>-70</v>
      </c>
      <c r="B13">
        <v>0.3</v>
      </c>
      <c r="C13" t="s">
        <v>9</v>
      </c>
      <c r="D13">
        <f>$I$3</f>
        <v>256.53341420512817</v>
      </c>
      <c r="E13" s="1">
        <f t="shared" si="0"/>
        <v>76.96002426153845</v>
      </c>
    </row>
    <row r="14" spans="1:9" x14ac:dyDescent="0.2">
      <c r="A14">
        <v>-65</v>
      </c>
      <c r="B14">
        <v>0.45</v>
      </c>
      <c r="C14" t="s">
        <v>9</v>
      </c>
      <c r="D14">
        <f>$I$3</f>
        <v>256.53341420512817</v>
      </c>
      <c r="E14" s="1">
        <f t="shared" si="0"/>
        <v>115.44003639230768</v>
      </c>
    </row>
    <row r="15" spans="1:9" x14ac:dyDescent="0.2">
      <c r="A15">
        <v>-60</v>
      </c>
      <c r="B15">
        <v>0.61499999999999999</v>
      </c>
      <c r="C15" t="s">
        <v>9</v>
      </c>
      <c r="D15">
        <f>$I$3</f>
        <v>256.53341420512817</v>
      </c>
      <c r="E15" s="1">
        <f t="shared" si="0"/>
        <v>157.76804973615381</v>
      </c>
    </row>
    <row r="16" spans="1:9" x14ac:dyDescent="0.2">
      <c r="A16">
        <v>-55</v>
      </c>
      <c r="B16">
        <v>1.03</v>
      </c>
      <c r="C16" t="s">
        <v>14</v>
      </c>
      <c r="D16">
        <f>$I$6</f>
        <v>328.26117776944557</v>
      </c>
      <c r="E16" s="1">
        <f t="shared" si="0"/>
        <v>338.10901310252893</v>
      </c>
    </row>
    <row r="17" spans="1:8" x14ac:dyDescent="0.2">
      <c r="A17">
        <v>-50</v>
      </c>
      <c r="B17">
        <v>1.39</v>
      </c>
      <c r="C17" t="s">
        <v>14</v>
      </c>
      <c r="D17">
        <f>$I$6</f>
        <v>328.26117776944557</v>
      </c>
      <c r="E17" s="1">
        <f t="shared" si="0"/>
        <v>456.28303709952928</v>
      </c>
    </row>
    <row r="18" spans="1:8" x14ac:dyDescent="0.2">
      <c r="A18">
        <v>-45</v>
      </c>
      <c r="B18">
        <v>1.45</v>
      </c>
      <c r="C18" t="s">
        <v>15</v>
      </c>
      <c r="D18">
        <f>$I$6</f>
        <v>328.26117776944557</v>
      </c>
      <c r="E18" s="1">
        <f t="shared" si="0"/>
        <v>475.97870776569607</v>
      </c>
    </row>
    <row r="19" spans="1:8" x14ac:dyDescent="0.2">
      <c r="A19">
        <v>-40</v>
      </c>
      <c r="B19">
        <v>1.18</v>
      </c>
      <c r="C19" t="s">
        <v>15</v>
      </c>
      <c r="D19">
        <f>$I$6</f>
        <v>328.26117776944557</v>
      </c>
      <c r="E19" s="1">
        <f t="shared" si="0"/>
        <v>387.34818976794577</v>
      </c>
    </row>
    <row r="20" spans="1:8" x14ac:dyDescent="0.2">
      <c r="A20">
        <v>-35</v>
      </c>
      <c r="B20">
        <v>0.68</v>
      </c>
      <c r="C20" t="s">
        <v>16</v>
      </c>
      <c r="D20">
        <f>$I$5</f>
        <v>281.72533811206205</v>
      </c>
      <c r="E20" s="1">
        <f t="shared" si="0"/>
        <v>191.57322991620219</v>
      </c>
    </row>
    <row r="21" spans="1:8" x14ac:dyDescent="0.2">
      <c r="A21">
        <v>-30</v>
      </c>
      <c r="B21">
        <v>0.37</v>
      </c>
      <c r="C21" t="s">
        <v>16</v>
      </c>
      <c r="D21">
        <f>$I$5</f>
        <v>281.72533811206205</v>
      </c>
      <c r="E21" s="1">
        <f t="shared" si="0"/>
        <v>104.23837510146295</v>
      </c>
    </row>
    <row r="22" spans="1:8" x14ac:dyDescent="0.2">
      <c r="A22">
        <v>-25</v>
      </c>
      <c r="B22">
        <v>0.29499999999999998</v>
      </c>
      <c r="C22" t="s">
        <v>16</v>
      </c>
      <c r="D22">
        <f>$I$5</f>
        <v>281.72533811206205</v>
      </c>
      <c r="E22" s="1">
        <f t="shared" si="0"/>
        <v>83.108974743058297</v>
      </c>
    </row>
    <row r="23" spans="1:8" x14ac:dyDescent="0.2">
      <c r="A23">
        <v>-20</v>
      </c>
      <c r="B23">
        <v>0.255</v>
      </c>
      <c r="C23" t="s">
        <v>16</v>
      </c>
      <c r="D23">
        <f>$I$5</f>
        <v>281.72533811206205</v>
      </c>
      <c r="E23" s="1">
        <f t="shared" si="0"/>
        <v>71.839961218575823</v>
      </c>
    </row>
    <row r="24" spans="1:8" x14ac:dyDescent="0.2">
      <c r="A24">
        <v>-15</v>
      </c>
      <c r="B24">
        <v>0.24</v>
      </c>
      <c r="C24" t="s">
        <v>16</v>
      </c>
      <c r="D24">
        <f>$I$5</f>
        <v>281.72533811206205</v>
      </c>
      <c r="E24" s="1">
        <f t="shared" si="0"/>
        <v>67.61408114689489</v>
      </c>
    </row>
    <row r="25" spans="1:8" x14ac:dyDescent="0.2">
      <c r="A25">
        <v>-10</v>
      </c>
      <c r="B25">
        <v>0.27</v>
      </c>
      <c r="C25" t="s">
        <v>17</v>
      </c>
      <c r="D25">
        <f>$I$5</f>
        <v>281.72533811206205</v>
      </c>
      <c r="E25" s="1">
        <f t="shared" si="0"/>
        <v>76.065841290256756</v>
      </c>
      <c r="G25" t="s">
        <v>38</v>
      </c>
    </row>
    <row r="26" spans="1:8" x14ac:dyDescent="0.2">
      <c r="A26">
        <v>-5</v>
      </c>
      <c r="B26">
        <v>0.215</v>
      </c>
      <c r="C26" t="s">
        <v>16</v>
      </c>
      <c r="D26">
        <f>$I$5</f>
        <v>281.72533811206205</v>
      </c>
      <c r="E26" s="1">
        <f t="shared" si="0"/>
        <v>60.570947694093341</v>
      </c>
      <c r="G26" s="1">
        <f>AVERAGE(E2:E43)</f>
        <v>135.79965122228828</v>
      </c>
      <c r="H26" t="s">
        <v>26</v>
      </c>
    </row>
    <row r="27" spans="1:8" x14ac:dyDescent="0.2">
      <c r="A27">
        <v>0</v>
      </c>
      <c r="B27">
        <v>0.2</v>
      </c>
      <c r="C27" t="s">
        <v>18</v>
      </c>
      <c r="D27">
        <f>$I$5</f>
        <v>281.72533811206205</v>
      </c>
      <c r="E27" s="1">
        <f t="shared" si="0"/>
        <v>56.345067622412415</v>
      </c>
    </row>
    <row r="28" spans="1:8" x14ac:dyDescent="0.2">
      <c r="A28">
        <v>5</v>
      </c>
      <c r="B28">
        <v>0.26500000000000001</v>
      </c>
      <c r="C28" t="s">
        <v>16</v>
      </c>
      <c r="D28">
        <f>$I$5</f>
        <v>281.72533811206205</v>
      </c>
      <c r="E28" s="1">
        <f t="shared" si="0"/>
        <v>74.657214599696445</v>
      </c>
    </row>
    <row r="29" spans="1:8" x14ac:dyDescent="0.2">
      <c r="A29">
        <v>10</v>
      </c>
      <c r="B29">
        <v>0.30499999999999999</v>
      </c>
      <c r="C29" t="s">
        <v>16</v>
      </c>
      <c r="D29">
        <f>$I$5</f>
        <v>281.72533811206205</v>
      </c>
      <c r="E29" s="1">
        <f t="shared" si="0"/>
        <v>85.92622812417892</v>
      </c>
    </row>
    <row r="30" spans="1:8" x14ac:dyDescent="0.2">
      <c r="A30">
        <v>15</v>
      </c>
      <c r="B30">
        <v>0.38</v>
      </c>
      <c r="C30" t="s">
        <v>16</v>
      </c>
      <c r="D30">
        <f>$I$5</f>
        <v>281.72533811206205</v>
      </c>
      <c r="E30" s="1">
        <f t="shared" si="0"/>
        <v>107.05562848258359</v>
      </c>
    </row>
    <row r="31" spans="1:8" x14ac:dyDescent="0.2">
      <c r="A31">
        <v>20</v>
      </c>
      <c r="B31">
        <v>0.49</v>
      </c>
      <c r="C31" t="s">
        <v>14</v>
      </c>
      <c r="D31">
        <f>$I$6</f>
        <v>328.26117776944557</v>
      </c>
      <c r="E31" s="1">
        <f t="shared" si="0"/>
        <v>160.84797710702833</v>
      </c>
    </row>
    <row r="32" spans="1:8" x14ac:dyDescent="0.2">
      <c r="A32">
        <v>25</v>
      </c>
      <c r="B32">
        <v>0.53</v>
      </c>
      <c r="C32" t="s">
        <v>14</v>
      </c>
      <c r="D32">
        <f>$I$6</f>
        <v>328.26117776944557</v>
      </c>
      <c r="E32" s="1">
        <f t="shared" si="0"/>
        <v>173.97842421780615</v>
      </c>
    </row>
    <row r="33" spans="1:5" x14ac:dyDescent="0.2">
      <c r="A33">
        <v>30</v>
      </c>
      <c r="B33">
        <v>0.5</v>
      </c>
      <c r="C33" t="s">
        <v>14</v>
      </c>
      <c r="D33">
        <f>$I$6</f>
        <v>328.26117776944557</v>
      </c>
      <c r="E33" s="1">
        <f t="shared" si="0"/>
        <v>164.13058888472278</v>
      </c>
    </row>
    <row r="34" spans="1:5" x14ac:dyDescent="0.2">
      <c r="A34">
        <v>35</v>
      </c>
      <c r="B34">
        <v>0.6</v>
      </c>
      <c r="C34" t="s">
        <v>14</v>
      </c>
      <c r="D34">
        <f>$I$6</f>
        <v>328.26117776944557</v>
      </c>
      <c r="E34" s="1">
        <f t="shared" si="0"/>
        <v>196.95670666166734</v>
      </c>
    </row>
    <row r="35" spans="1:5" x14ac:dyDescent="0.2">
      <c r="A35">
        <v>40</v>
      </c>
      <c r="B35">
        <v>0.6</v>
      </c>
      <c r="C35" t="s">
        <v>19</v>
      </c>
      <c r="D35">
        <f>$I$4</f>
        <v>291.90750595714934</v>
      </c>
      <c r="E35" s="1">
        <f t="shared" si="0"/>
        <v>175.14450357428959</v>
      </c>
    </row>
    <row r="36" spans="1:5" x14ac:dyDescent="0.2">
      <c r="A36">
        <v>45</v>
      </c>
      <c r="B36">
        <v>0.5</v>
      </c>
      <c r="C36" t="s">
        <v>19</v>
      </c>
      <c r="D36">
        <f>$I$4</f>
        <v>291.90750595714934</v>
      </c>
      <c r="E36" s="1">
        <f t="shared" si="0"/>
        <v>145.95375297857467</v>
      </c>
    </row>
    <row r="37" spans="1:5" x14ac:dyDescent="0.2">
      <c r="A37">
        <v>50</v>
      </c>
      <c r="B37">
        <v>0.4</v>
      </c>
      <c r="C37" t="s">
        <v>19</v>
      </c>
      <c r="D37">
        <f>$I$4</f>
        <v>291.90750595714934</v>
      </c>
      <c r="E37" s="1">
        <f t="shared" si="0"/>
        <v>116.76300238285974</v>
      </c>
    </row>
    <row r="38" spans="1:5" x14ac:dyDescent="0.2">
      <c r="A38">
        <v>55</v>
      </c>
      <c r="B38">
        <v>0.44</v>
      </c>
      <c r="C38" t="s">
        <v>19</v>
      </c>
      <c r="D38">
        <f>$I$4</f>
        <v>291.90750595714934</v>
      </c>
      <c r="E38" s="1">
        <f t="shared" si="0"/>
        <v>128.43930262114571</v>
      </c>
    </row>
    <row r="39" spans="1:5" x14ac:dyDescent="0.2">
      <c r="A39">
        <v>60</v>
      </c>
      <c r="B39">
        <v>0.39</v>
      </c>
      <c r="C39" t="s">
        <v>19</v>
      </c>
      <c r="D39">
        <f>$I$4</f>
        <v>291.90750595714934</v>
      </c>
      <c r="E39" s="1">
        <f t="shared" si="0"/>
        <v>113.84392732328824</v>
      </c>
    </row>
    <row r="40" spans="1:5" x14ac:dyDescent="0.2">
      <c r="A40">
        <v>65</v>
      </c>
      <c r="B40">
        <v>0.315</v>
      </c>
      <c r="C40" t="s">
        <v>19</v>
      </c>
      <c r="D40">
        <f>$I$4</f>
        <v>291.90750595714934</v>
      </c>
      <c r="E40" s="1">
        <f t="shared" si="0"/>
        <v>91.950864376502039</v>
      </c>
    </row>
    <row r="41" spans="1:5" x14ac:dyDescent="0.2">
      <c r="A41">
        <v>70</v>
      </c>
      <c r="B41">
        <v>0.17</v>
      </c>
      <c r="C41" t="s">
        <v>19</v>
      </c>
      <c r="D41">
        <f>$I$4</f>
        <v>291.90750595714934</v>
      </c>
      <c r="E41" s="1">
        <f t="shared" si="0"/>
        <v>49.624276012715391</v>
      </c>
    </row>
    <row r="42" spans="1:5" x14ac:dyDescent="0.2">
      <c r="A42">
        <v>75</v>
      </c>
      <c r="B42">
        <v>0.19</v>
      </c>
      <c r="C42" t="s">
        <v>19</v>
      </c>
      <c r="D42">
        <f>$I$4</f>
        <v>291.90750595714934</v>
      </c>
      <c r="E42" s="1">
        <f t="shared" si="0"/>
        <v>55.462426131858372</v>
      </c>
    </row>
    <row r="43" spans="1:5" x14ac:dyDescent="0.2">
      <c r="A43">
        <v>80</v>
      </c>
      <c r="B43">
        <v>0.13</v>
      </c>
      <c r="C43" t="s">
        <v>20</v>
      </c>
      <c r="D43">
        <f>$I$4</f>
        <v>291.90750595714934</v>
      </c>
      <c r="E43" s="1">
        <f t="shared" si="0"/>
        <v>37.947975774429416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AE6F-E621-B648-8F21-8323D52B6076}">
  <dimension ref="A1:H45"/>
  <sheetViews>
    <sheetView zoomScale="180" zoomScaleNormal="180" workbookViewId="0">
      <selection activeCell="H12" sqref="H12"/>
    </sheetView>
  </sheetViews>
  <sheetFormatPr baseColWidth="10" defaultRowHeight="16" x14ac:dyDescent="0.2"/>
  <sheetData>
    <row r="1" spans="1:8" x14ac:dyDescent="0.2">
      <c r="A1" t="s">
        <v>11</v>
      </c>
      <c r="B1" t="s">
        <v>1</v>
      </c>
      <c r="C1" t="s">
        <v>12</v>
      </c>
      <c r="G1" t="s">
        <v>0</v>
      </c>
      <c r="H1" t="s">
        <v>33</v>
      </c>
    </row>
    <row r="2" spans="1:8" x14ac:dyDescent="0.2">
      <c r="A2">
        <v>-100</v>
      </c>
      <c r="B2">
        <v>0.25</v>
      </c>
      <c r="C2" t="s">
        <v>21</v>
      </c>
      <c r="G2" t="s">
        <v>3</v>
      </c>
      <c r="H2">
        <v>281.04191238213474</v>
      </c>
    </row>
    <row r="3" spans="1:8" x14ac:dyDescent="0.2">
      <c r="A3">
        <v>-90</v>
      </c>
      <c r="B3">
        <v>0.28999999999999998</v>
      </c>
      <c r="C3" t="s">
        <v>19</v>
      </c>
      <c r="G3" t="s">
        <v>4</v>
      </c>
      <c r="H3">
        <v>256.53341420512817</v>
      </c>
    </row>
    <row r="4" spans="1:8" x14ac:dyDescent="0.2">
      <c r="A4">
        <v>-80</v>
      </c>
      <c r="B4">
        <v>0.3</v>
      </c>
      <c r="C4" t="s">
        <v>19</v>
      </c>
      <c r="G4" t="s">
        <v>34</v>
      </c>
      <c r="H4">
        <v>291.90750595714934</v>
      </c>
    </row>
    <row r="5" spans="1:8" x14ac:dyDescent="0.2">
      <c r="A5">
        <v>-70</v>
      </c>
      <c r="B5">
        <v>0.27</v>
      </c>
      <c r="C5" t="s">
        <v>19</v>
      </c>
      <c r="G5" t="s">
        <v>35</v>
      </c>
      <c r="H5">
        <v>281.72533811206205</v>
      </c>
    </row>
    <row r="6" spans="1:8" x14ac:dyDescent="0.2">
      <c r="A6">
        <v>-60</v>
      </c>
      <c r="B6">
        <v>0.3</v>
      </c>
      <c r="C6" t="s">
        <v>19</v>
      </c>
      <c r="G6" t="s">
        <v>7</v>
      </c>
      <c r="H6">
        <v>328.26117776944557</v>
      </c>
    </row>
    <row r="7" spans="1:8" x14ac:dyDescent="0.2">
      <c r="A7">
        <v>-55</v>
      </c>
      <c r="B7">
        <v>0.37</v>
      </c>
      <c r="C7" t="s">
        <v>19</v>
      </c>
    </row>
    <row r="8" spans="1:8" x14ac:dyDescent="0.2">
      <c r="A8">
        <v>-50</v>
      </c>
      <c r="B8">
        <v>0.39500000000000002</v>
      </c>
      <c r="C8" t="s">
        <v>19</v>
      </c>
    </row>
    <row r="9" spans="1:8" x14ac:dyDescent="0.2">
      <c r="A9">
        <v>-45</v>
      </c>
      <c r="B9">
        <v>0.69</v>
      </c>
      <c r="C9" t="s">
        <v>19</v>
      </c>
    </row>
    <row r="10" spans="1:8" x14ac:dyDescent="0.2">
      <c r="A10">
        <v>-40</v>
      </c>
      <c r="B10">
        <v>0.72</v>
      </c>
      <c r="C10" t="s">
        <v>19</v>
      </c>
    </row>
    <row r="11" spans="1:8" x14ac:dyDescent="0.2">
      <c r="A11">
        <v>-35</v>
      </c>
      <c r="B11">
        <v>0.74</v>
      </c>
      <c r="C11" t="s">
        <v>22</v>
      </c>
    </row>
    <row r="12" spans="1:8" x14ac:dyDescent="0.2">
      <c r="A12">
        <v>-30</v>
      </c>
      <c r="B12">
        <v>0.79</v>
      </c>
      <c r="C12" t="s">
        <v>15</v>
      </c>
    </row>
    <row r="13" spans="1:8" x14ac:dyDescent="0.2">
      <c r="A13">
        <v>-25</v>
      </c>
      <c r="B13">
        <v>0.55000000000000004</v>
      </c>
      <c r="C13" t="s">
        <v>15</v>
      </c>
    </row>
    <row r="14" spans="1:8" x14ac:dyDescent="0.2">
      <c r="A14">
        <v>-20</v>
      </c>
      <c r="B14">
        <v>0.62</v>
      </c>
      <c r="C14" t="s">
        <v>16</v>
      </c>
    </row>
    <row r="15" spans="1:8" x14ac:dyDescent="0.2">
      <c r="A15">
        <v>-15</v>
      </c>
      <c r="B15">
        <v>0.37</v>
      </c>
      <c r="C15" t="s">
        <v>16</v>
      </c>
    </row>
    <row r="16" spans="1:8" x14ac:dyDescent="0.2">
      <c r="A16">
        <v>-10</v>
      </c>
      <c r="B16">
        <v>0.28999999999999998</v>
      </c>
      <c r="C16" t="s">
        <v>16</v>
      </c>
    </row>
    <row r="17" spans="1:3" x14ac:dyDescent="0.2">
      <c r="A17">
        <v>-5</v>
      </c>
      <c r="B17">
        <v>0.27</v>
      </c>
      <c r="C17" t="s">
        <v>16</v>
      </c>
    </row>
    <row r="18" spans="1:3" x14ac:dyDescent="0.2">
      <c r="A18">
        <v>0</v>
      </c>
      <c r="B18">
        <v>0.2</v>
      </c>
      <c r="C18" t="s">
        <v>23</v>
      </c>
    </row>
    <row r="19" spans="1:3" x14ac:dyDescent="0.2">
      <c r="A19">
        <v>5</v>
      </c>
      <c r="B19">
        <v>0.23</v>
      </c>
      <c r="C19" t="s">
        <v>16</v>
      </c>
    </row>
    <row r="20" spans="1:3" x14ac:dyDescent="0.2">
      <c r="A20">
        <v>10</v>
      </c>
      <c r="B20">
        <v>0.26</v>
      </c>
      <c r="C20" t="s">
        <v>16</v>
      </c>
    </row>
    <row r="21" spans="1:3" x14ac:dyDescent="0.2">
      <c r="A21">
        <v>15</v>
      </c>
      <c r="B21">
        <v>0.61</v>
      </c>
      <c r="C21" t="s">
        <v>16</v>
      </c>
    </row>
    <row r="22" spans="1:3" x14ac:dyDescent="0.2">
      <c r="A22">
        <v>20</v>
      </c>
      <c r="B22">
        <v>0.85</v>
      </c>
      <c r="C22" t="s">
        <v>24</v>
      </c>
    </row>
    <row r="23" spans="1:3" x14ac:dyDescent="0.2">
      <c r="A23">
        <v>25</v>
      </c>
      <c r="B23">
        <v>0.49</v>
      </c>
      <c r="C23" t="s">
        <v>22</v>
      </c>
    </row>
    <row r="24" spans="1:3" x14ac:dyDescent="0.2">
      <c r="A24">
        <v>30</v>
      </c>
      <c r="B24">
        <v>0.7</v>
      </c>
      <c r="C24" t="s">
        <v>22</v>
      </c>
    </row>
    <row r="25" spans="1:3" x14ac:dyDescent="0.2">
      <c r="A25">
        <v>35</v>
      </c>
      <c r="B25">
        <v>0.57499999999999996</v>
      </c>
      <c r="C25" t="s">
        <v>22</v>
      </c>
    </row>
    <row r="26" spans="1:3" x14ac:dyDescent="0.2">
      <c r="A26">
        <v>40</v>
      </c>
      <c r="B26">
        <v>0.87</v>
      </c>
      <c r="C26" t="s">
        <v>22</v>
      </c>
    </row>
    <row r="27" spans="1:3" x14ac:dyDescent="0.2">
      <c r="A27">
        <v>45</v>
      </c>
      <c r="B27">
        <v>0.65</v>
      </c>
      <c r="C27" t="s">
        <v>22</v>
      </c>
    </row>
    <row r="28" spans="1:3" x14ac:dyDescent="0.2">
      <c r="A28">
        <v>50</v>
      </c>
      <c r="B28">
        <v>0.49</v>
      </c>
      <c r="C28" t="s">
        <v>19</v>
      </c>
    </row>
    <row r="29" spans="1:3" x14ac:dyDescent="0.2">
      <c r="A29">
        <v>55</v>
      </c>
      <c r="B29">
        <v>0.37</v>
      </c>
      <c r="C29" t="s">
        <v>19</v>
      </c>
    </row>
    <row r="30" spans="1:3" x14ac:dyDescent="0.2">
      <c r="A30">
        <v>60</v>
      </c>
      <c r="B30">
        <v>0.41</v>
      </c>
      <c r="C30" t="s">
        <v>19</v>
      </c>
    </row>
    <row r="31" spans="1:3" x14ac:dyDescent="0.2">
      <c r="A31">
        <v>65</v>
      </c>
      <c r="B31">
        <v>0.33500000000000002</v>
      </c>
      <c r="C31" t="s">
        <v>19</v>
      </c>
    </row>
    <row r="32" spans="1:3" x14ac:dyDescent="0.2">
      <c r="A32">
        <v>70</v>
      </c>
      <c r="B32">
        <v>0.53</v>
      </c>
      <c r="C32" t="s">
        <v>19</v>
      </c>
    </row>
    <row r="33" spans="1:3" x14ac:dyDescent="0.2">
      <c r="A33">
        <v>75</v>
      </c>
      <c r="B33">
        <v>0.59</v>
      </c>
      <c r="C33" t="s">
        <v>19</v>
      </c>
    </row>
    <row r="34" spans="1:3" x14ac:dyDescent="0.2">
      <c r="A34">
        <v>80</v>
      </c>
      <c r="B34">
        <v>0.49</v>
      </c>
      <c r="C34" t="s">
        <v>19</v>
      </c>
    </row>
    <row r="35" spans="1:3" x14ac:dyDescent="0.2">
      <c r="A35">
        <v>85</v>
      </c>
      <c r="B35">
        <v>0.4</v>
      </c>
      <c r="C35" t="s">
        <v>19</v>
      </c>
    </row>
    <row r="36" spans="1:3" x14ac:dyDescent="0.2">
      <c r="A36">
        <v>90</v>
      </c>
      <c r="B36">
        <v>0.41</v>
      </c>
      <c r="C36" t="s">
        <v>19</v>
      </c>
    </row>
    <row r="37" spans="1:3" x14ac:dyDescent="0.2">
      <c r="A37">
        <v>95</v>
      </c>
      <c r="B37">
        <v>0.51</v>
      </c>
      <c r="C37" t="s">
        <v>19</v>
      </c>
    </row>
    <row r="38" spans="1:3" x14ac:dyDescent="0.2">
      <c r="A38">
        <v>100</v>
      </c>
      <c r="B38">
        <v>0.3</v>
      </c>
      <c r="C38" t="s">
        <v>19</v>
      </c>
    </row>
    <row r="39" spans="1:3" x14ac:dyDescent="0.2">
      <c r="A39">
        <v>105</v>
      </c>
      <c r="B39">
        <v>0.26</v>
      </c>
      <c r="C39" t="s">
        <v>19</v>
      </c>
    </row>
    <row r="40" spans="1:3" x14ac:dyDescent="0.2">
      <c r="A40">
        <v>115</v>
      </c>
      <c r="B40">
        <v>0.24</v>
      </c>
      <c r="C40" t="s">
        <v>10</v>
      </c>
    </row>
    <row r="41" spans="1:3" x14ac:dyDescent="0.2">
      <c r="A41">
        <v>125</v>
      </c>
      <c r="B41">
        <v>0.45</v>
      </c>
      <c r="C41" t="s">
        <v>10</v>
      </c>
    </row>
    <row r="42" spans="1:3" x14ac:dyDescent="0.2">
      <c r="A42">
        <v>135</v>
      </c>
      <c r="B42">
        <v>0.54</v>
      </c>
      <c r="C42" t="s">
        <v>10</v>
      </c>
    </row>
    <row r="43" spans="1:3" x14ac:dyDescent="0.2">
      <c r="A43">
        <v>145</v>
      </c>
      <c r="B43">
        <v>0.53</v>
      </c>
      <c r="C43" t="s">
        <v>10</v>
      </c>
    </row>
    <row r="44" spans="1:3" x14ac:dyDescent="0.2">
      <c r="A44">
        <v>155</v>
      </c>
      <c r="B44">
        <v>0.49</v>
      </c>
      <c r="C44" t="s">
        <v>10</v>
      </c>
    </row>
    <row r="45" spans="1:3" x14ac:dyDescent="0.2">
      <c r="A45">
        <v>165</v>
      </c>
      <c r="B45">
        <v>0.53</v>
      </c>
      <c r="C4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DensityMeasurements</vt:lpstr>
      <vt:lpstr>North south transect</vt:lpstr>
      <vt:lpstr>East west transect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Ireson, Andrew</dc:creator>
  <cp:lastModifiedBy>Ireson, Andrew</cp:lastModifiedBy>
  <dcterms:created xsi:type="dcterms:W3CDTF">2025-11-11T21:42:44Z</dcterms:created>
  <dcterms:modified xsi:type="dcterms:W3CDTF">2025-11-12T02:11:26Z</dcterms:modified>
</cp:coreProperties>
</file>