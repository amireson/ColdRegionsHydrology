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378/USASK/teaching/BNU_ColdRegionsHydrology/data/"/>
    </mc:Choice>
  </mc:AlternateContent>
  <xr:revisionPtr revIDLastSave="0" documentId="13_ncr:1_{E38561D2-E5C7-9E45-8794-A4379B0B5E0F}" xr6:coauthVersionLast="47" xr6:coauthVersionMax="47" xr10:uidLastSave="{00000000-0000-0000-0000-000000000000}"/>
  <bookViews>
    <workbookView xWindow="0" yWindow="500" windowWidth="38400" windowHeight="21100" xr2:uid="{F80F4A02-DD10-2C4F-AC73-7811E32CD3CB}"/>
  </bookViews>
  <sheets>
    <sheet name="2007_Air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3" i="1"/>
  <c r="D2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2" i="1"/>
  <c r="F6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E2" i="1"/>
  <c r="F2" i="1" s="1"/>
  <c r="H2" i="1" l="1"/>
  <c r="I2" i="1" s="1"/>
  <c r="I3" i="1" l="1"/>
  <c r="C3" i="1" s="1"/>
  <c r="G3" i="1" s="1"/>
  <c r="D3" i="1" s="1"/>
  <c r="I4" i="1" l="1"/>
  <c r="C4" i="1" s="1"/>
  <c r="G4" i="1" s="1"/>
  <c r="D4" i="1" s="1"/>
  <c r="I5" i="1" l="1"/>
  <c r="C5" i="1" s="1"/>
  <c r="G5" i="1" s="1"/>
  <c r="D5" i="1" s="1"/>
  <c r="I6" i="1" l="1"/>
  <c r="C6" i="1" s="1"/>
  <c r="G6" i="1" s="1"/>
  <c r="D6" i="1" s="1"/>
  <c r="I7" i="1" l="1"/>
  <c r="C7" i="1" s="1"/>
  <c r="G7" i="1" s="1"/>
  <c r="D7" i="1" s="1"/>
  <c r="I8" i="1" l="1"/>
  <c r="C8" i="1" s="1"/>
  <c r="G8" i="1" s="1"/>
  <c r="D8" i="1" s="1"/>
  <c r="I9" i="1" l="1"/>
  <c r="C9" i="1" s="1"/>
  <c r="G9" i="1" s="1"/>
  <c r="D9" i="1" s="1"/>
  <c r="I10" i="1" l="1"/>
  <c r="C10" i="1" s="1"/>
  <c r="G10" i="1" s="1"/>
  <c r="D10" i="1" s="1"/>
  <c r="I11" i="1" l="1"/>
  <c r="C11" i="1" s="1"/>
  <c r="G11" i="1" s="1"/>
  <c r="D11" i="1" s="1"/>
  <c r="I12" i="1" l="1"/>
  <c r="C12" i="1" s="1"/>
  <c r="G12" i="1" s="1"/>
  <c r="D12" i="1" s="1"/>
  <c r="I13" i="1" l="1"/>
  <c r="C13" i="1" s="1"/>
  <c r="G13" i="1" s="1"/>
  <c r="D13" i="1" s="1"/>
  <c r="I14" i="1" l="1"/>
  <c r="C14" i="1" s="1"/>
  <c r="G14" i="1" s="1"/>
  <c r="D14" i="1" s="1"/>
  <c r="I15" i="1" l="1"/>
  <c r="C15" i="1" s="1"/>
  <c r="G15" i="1" s="1"/>
  <c r="D15" i="1" s="1"/>
  <c r="I16" i="1" l="1"/>
  <c r="C16" i="1" s="1"/>
  <c r="G16" i="1" s="1"/>
  <c r="D16" i="1" s="1"/>
  <c r="I17" i="1" l="1"/>
  <c r="C17" i="1" s="1"/>
  <c r="G17" i="1" s="1"/>
  <c r="D17" i="1" s="1"/>
  <c r="I18" i="1" l="1"/>
  <c r="C18" i="1" s="1"/>
  <c r="G18" i="1" s="1"/>
  <c r="D18" i="1" s="1"/>
  <c r="I19" i="1" l="1"/>
  <c r="C19" i="1" s="1"/>
  <c r="G19" i="1" s="1"/>
  <c r="D19" i="1" s="1"/>
  <c r="I20" i="1" l="1"/>
  <c r="C20" i="1" s="1"/>
  <c r="G20" i="1" s="1"/>
  <c r="D20" i="1" s="1"/>
  <c r="I21" i="1" l="1"/>
  <c r="C21" i="1" s="1"/>
  <c r="G21" i="1" s="1"/>
  <c r="D21" i="1" s="1"/>
  <c r="I22" i="1" l="1"/>
  <c r="C22" i="1" s="1"/>
  <c r="G22" i="1" s="1"/>
  <c r="D22" i="1" s="1"/>
  <c r="I23" i="1" l="1"/>
  <c r="C23" i="1" s="1"/>
  <c r="G23" i="1" s="1"/>
  <c r="D23" i="1" s="1"/>
  <c r="I24" i="1" l="1"/>
  <c r="C24" i="1" s="1"/>
  <c r="G24" i="1" s="1"/>
  <c r="D24" i="1" s="1"/>
  <c r="I25" i="1" l="1"/>
  <c r="C25" i="1" s="1"/>
  <c r="G25" i="1" s="1"/>
  <c r="D25" i="1" s="1"/>
  <c r="I26" i="1" l="1"/>
  <c r="C26" i="1" s="1"/>
  <c r="G26" i="1" s="1"/>
  <c r="D26" i="1" s="1"/>
  <c r="I27" i="1" l="1"/>
  <c r="C27" i="1" s="1"/>
  <c r="G27" i="1" s="1"/>
  <c r="D27" i="1" s="1"/>
  <c r="I28" i="1" l="1"/>
  <c r="C28" i="1" s="1"/>
  <c r="G28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I29" i="1" l="1"/>
  <c r="I30" i="1" l="1"/>
  <c r="I31" i="1" l="1"/>
  <c r="I32" i="1" l="1"/>
  <c r="I33" i="1" l="1"/>
  <c r="I34" i="1" l="1"/>
  <c r="I35" i="1" l="1"/>
  <c r="I36" i="1" l="1"/>
  <c r="I37" i="1" l="1"/>
  <c r="I38" i="1" l="1"/>
  <c r="I39" i="1" l="1"/>
  <c r="I40" i="1" l="1"/>
  <c r="I41" i="1" l="1"/>
  <c r="I42" i="1" l="1"/>
  <c r="I43" i="1" l="1"/>
  <c r="I44" i="1" l="1"/>
  <c r="I45" i="1" l="1"/>
  <c r="I46" i="1" l="1"/>
  <c r="I47" i="1" l="1"/>
  <c r="I48" i="1" l="1"/>
  <c r="I49" i="1" l="1"/>
  <c r="I50" i="1" l="1"/>
  <c r="I51" i="1" l="1"/>
  <c r="I52" i="1" l="1"/>
  <c r="I53" i="1" l="1"/>
  <c r="I54" i="1" l="1"/>
  <c r="I55" i="1" l="1"/>
  <c r="I56" i="1" l="1"/>
  <c r="I57" i="1" l="1"/>
  <c r="I58" i="1" l="1"/>
  <c r="I59" i="1" l="1"/>
  <c r="I60" i="1" l="1"/>
  <c r="I62" i="1" l="1"/>
  <c r="I61" i="1"/>
</calcChain>
</file>

<file path=xl/sharedStrings.xml><?xml version="1.0" encoding="utf-8"?>
<sst xmlns="http://schemas.openxmlformats.org/spreadsheetml/2006/main" count="14" uniqueCount="14">
  <si>
    <t>Date</t>
  </si>
  <si>
    <t xml:space="preserve"> Mean daily air temp (deg C)</t>
  </si>
  <si>
    <t>SWE (mm)</t>
  </si>
  <si>
    <t>cum. Melt (mm)</t>
  </si>
  <si>
    <t>Parameters</t>
  </si>
  <si>
    <t>r</t>
  </si>
  <si>
    <t>TM</t>
  </si>
  <si>
    <t>Potential melt</t>
  </si>
  <si>
    <t>mm/d</t>
  </si>
  <si>
    <t>deg C</t>
  </si>
  <si>
    <t>corr melt</t>
  </si>
  <si>
    <t>Uncorr SWE</t>
  </si>
  <si>
    <t>Corr SWE</t>
  </si>
  <si>
    <t>Corr melt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</si>
</sst>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'2007_AirTemp'!$C$1</c:f>
              <c:strCache>
                <c:ptCount val="1"/>
                <c:pt idx="0">
                  <c:v>SWE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'2007_AirTemp'!$A$2:$A$62</c:f>
              <c:numCache>
                <c:formatCode>m/d/yy</c:formatCode>
                <c:ptCount val="61"/>
                <c:pt idx="0">
                  <c:v>39173</c:v>
                </c:pt>
                <c:pt idx="1">
                  <c:v>39174</c:v>
                </c:pt>
                <c:pt idx="2">
                  <c:v>39175</c:v>
                </c:pt>
                <c:pt idx="3">
                  <c:v>39176</c:v>
                </c:pt>
                <c:pt idx="4">
                  <c:v>39177</c:v>
                </c:pt>
                <c:pt idx="5">
                  <c:v>39178</c:v>
                </c:pt>
                <c:pt idx="6">
                  <c:v>39179</c:v>
                </c:pt>
                <c:pt idx="7">
                  <c:v>39180</c:v>
                </c:pt>
                <c:pt idx="8">
                  <c:v>39181</c:v>
                </c:pt>
                <c:pt idx="9">
                  <c:v>39182</c:v>
                </c:pt>
                <c:pt idx="10">
                  <c:v>39183</c:v>
                </c:pt>
                <c:pt idx="11">
                  <c:v>39184</c:v>
                </c:pt>
                <c:pt idx="12">
                  <c:v>39185</c:v>
                </c:pt>
                <c:pt idx="13">
                  <c:v>39186</c:v>
                </c:pt>
                <c:pt idx="14">
                  <c:v>39187</c:v>
                </c:pt>
                <c:pt idx="15">
                  <c:v>39188</c:v>
                </c:pt>
                <c:pt idx="16">
                  <c:v>39189</c:v>
                </c:pt>
                <c:pt idx="17">
                  <c:v>39190</c:v>
                </c:pt>
                <c:pt idx="18">
                  <c:v>39191</c:v>
                </c:pt>
                <c:pt idx="19">
                  <c:v>39192</c:v>
                </c:pt>
                <c:pt idx="20">
                  <c:v>39193</c:v>
                </c:pt>
                <c:pt idx="21">
                  <c:v>39194</c:v>
                </c:pt>
                <c:pt idx="22">
                  <c:v>39195</c:v>
                </c:pt>
                <c:pt idx="23">
                  <c:v>39196</c:v>
                </c:pt>
                <c:pt idx="24">
                  <c:v>39197</c:v>
                </c:pt>
                <c:pt idx="25">
                  <c:v>39198</c:v>
                </c:pt>
                <c:pt idx="26">
                  <c:v>39199</c:v>
                </c:pt>
                <c:pt idx="27">
                  <c:v>39200</c:v>
                </c:pt>
                <c:pt idx="28">
                  <c:v>39201</c:v>
                </c:pt>
                <c:pt idx="29">
                  <c:v>39202</c:v>
                </c:pt>
                <c:pt idx="30">
                  <c:v>39203</c:v>
                </c:pt>
                <c:pt idx="31">
                  <c:v>39204</c:v>
                </c:pt>
                <c:pt idx="32">
                  <c:v>39205</c:v>
                </c:pt>
                <c:pt idx="33">
                  <c:v>39206</c:v>
                </c:pt>
                <c:pt idx="34">
                  <c:v>39207</c:v>
                </c:pt>
                <c:pt idx="35">
                  <c:v>39208</c:v>
                </c:pt>
                <c:pt idx="36">
                  <c:v>39209</c:v>
                </c:pt>
                <c:pt idx="37">
                  <c:v>39210</c:v>
                </c:pt>
                <c:pt idx="38">
                  <c:v>39211</c:v>
                </c:pt>
                <c:pt idx="39">
                  <c:v>39212</c:v>
                </c:pt>
                <c:pt idx="40">
                  <c:v>39213</c:v>
                </c:pt>
                <c:pt idx="41">
                  <c:v>39214</c:v>
                </c:pt>
                <c:pt idx="42">
                  <c:v>39215</c:v>
                </c:pt>
                <c:pt idx="43">
                  <c:v>39216</c:v>
                </c:pt>
                <c:pt idx="44">
                  <c:v>39217</c:v>
                </c:pt>
                <c:pt idx="45">
                  <c:v>39218</c:v>
                </c:pt>
                <c:pt idx="46">
                  <c:v>39219</c:v>
                </c:pt>
                <c:pt idx="47">
                  <c:v>39220</c:v>
                </c:pt>
                <c:pt idx="48">
                  <c:v>39221</c:v>
                </c:pt>
                <c:pt idx="49">
                  <c:v>39222</c:v>
                </c:pt>
                <c:pt idx="50">
                  <c:v>39223</c:v>
                </c:pt>
                <c:pt idx="51">
                  <c:v>39224</c:v>
                </c:pt>
                <c:pt idx="52">
                  <c:v>39225</c:v>
                </c:pt>
                <c:pt idx="53">
                  <c:v>39226</c:v>
                </c:pt>
                <c:pt idx="54">
                  <c:v>39227</c:v>
                </c:pt>
                <c:pt idx="55">
                  <c:v>39228</c:v>
                </c:pt>
                <c:pt idx="56">
                  <c:v>39229</c:v>
                </c:pt>
                <c:pt idx="57">
                  <c:v>39230</c:v>
                </c:pt>
                <c:pt idx="58">
                  <c:v>39231</c:v>
                </c:pt>
                <c:pt idx="59">
                  <c:v>39232</c:v>
                </c:pt>
                <c:pt idx="60">
                  <c:v>39233</c:v>
                </c:pt>
              </c:numCache>
            </c:numRef>
          </c:xVal>
          <c:yVal>
            <c:numRef>
              <c:f>'2007_AirTemp'!$C$2:$C$62</c:f>
              <c:numCache>
                <c:formatCode>General</c:formatCode>
                <c:ptCount val="61"/>
                <c:pt idx="0">
                  <c:v>135.80000000000001</c:v>
                </c:pt>
                <c:pt idx="1">
                  <c:v>135.80000000000001</c:v>
                </c:pt>
                <c:pt idx="2">
                  <c:v>135.80000000000001</c:v>
                </c:pt>
                <c:pt idx="3">
                  <c:v>130.85900000000001</c:v>
                </c:pt>
                <c:pt idx="4">
                  <c:v>130.85900000000001</c:v>
                </c:pt>
                <c:pt idx="5">
                  <c:v>130.85900000000001</c:v>
                </c:pt>
                <c:pt idx="6">
                  <c:v>130.85900000000001</c:v>
                </c:pt>
                <c:pt idx="7">
                  <c:v>130.85900000000001</c:v>
                </c:pt>
                <c:pt idx="8">
                  <c:v>130.85900000000001</c:v>
                </c:pt>
                <c:pt idx="9">
                  <c:v>119.07380000000001</c:v>
                </c:pt>
                <c:pt idx="10">
                  <c:v>110.2898</c:v>
                </c:pt>
                <c:pt idx="11">
                  <c:v>101.43259999999999</c:v>
                </c:pt>
                <c:pt idx="12">
                  <c:v>85.548199999999994</c:v>
                </c:pt>
                <c:pt idx="13">
                  <c:v>44.556199999999997</c:v>
                </c:pt>
                <c:pt idx="14">
                  <c:v>12.018799999999992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3-0244-A8AB-7331830F580F}"/>
            </c:ext>
          </c:extLst>
        </c:ser>
        <c:ser>
          <c:idx val="1"/>
          <c:order val="1"/>
          <c:tx>
            <c:strRef>
              <c:f>'2007_AirTemp'!$D$1</c:f>
              <c:strCache>
                <c:ptCount val="1"/>
                <c:pt idx="0">
                  <c:v>cum. Melt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'2007_AirTemp'!$A$2:$A$62</c:f>
              <c:numCache>
                <c:formatCode>m/d/yy</c:formatCode>
                <c:ptCount val="61"/>
                <c:pt idx="0">
                  <c:v>39173</c:v>
                </c:pt>
                <c:pt idx="1">
                  <c:v>39174</c:v>
                </c:pt>
                <c:pt idx="2">
                  <c:v>39175</c:v>
                </c:pt>
                <c:pt idx="3">
                  <c:v>39176</c:v>
                </c:pt>
                <c:pt idx="4">
                  <c:v>39177</c:v>
                </c:pt>
                <c:pt idx="5">
                  <c:v>39178</c:v>
                </c:pt>
                <c:pt idx="6">
                  <c:v>39179</c:v>
                </c:pt>
                <c:pt idx="7">
                  <c:v>39180</c:v>
                </c:pt>
                <c:pt idx="8">
                  <c:v>39181</c:v>
                </c:pt>
                <c:pt idx="9">
                  <c:v>39182</c:v>
                </c:pt>
                <c:pt idx="10">
                  <c:v>39183</c:v>
                </c:pt>
                <c:pt idx="11">
                  <c:v>39184</c:v>
                </c:pt>
                <c:pt idx="12">
                  <c:v>39185</c:v>
                </c:pt>
                <c:pt idx="13">
                  <c:v>39186</c:v>
                </c:pt>
                <c:pt idx="14">
                  <c:v>39187</c:v>
                </c:pt>
                <c:pt idx="15">
                  <c:v>39188</c:v>
                </c:pt>
                <c:pt idx="16">
                  <c:v>39189</c:v>
                </c:pt>
                <c:pt idx="17">
                  <c:v>39190</c:v>
                </c:pt>
                <c:pt idx="18">
                  <c:v>39191</c:v>
                </c:pt>
                <c:pt idx="19">
                  <c:v>39192</c:v>
                </c:pt>
                <c:pt idx="20">
                  <c:v>39193</c:v>
                </c:pt>
                <c:pt idx="21">
                  <c:v>39194</c:v>
                </c:pt>
                <c:pt idx="22">
                  <c:v>39195</c:v>
                </c:pt>
                <c:pt idx="23">
                  <c:v>39196</c:v>
                </c:pt>
                <c:pt idx="24">
                  <c:v>39197</c:v>
                </c:pt>
                <c:pt idx="25">
                  <c:v>39198</c:v>
                </c:pt>
                <c:pt idx="26">
                  <c:v>39199</c:v>
                </c:pt>
                <c:pt idx="27">
                  <c:v>39200</c:v>
                </c:pt>
                <c:pt idx="28">
                  <c:v>39201</c:v>
                </c:pt>
                <c:pt idx="29">
                  <c:v>39202</c:v>
                </c:pt>
                <c:pt idx="30">
                  <c:v>39203</c:v>
                </c:pt>
                <c:pt idx="31">
                  <c:v>39204</c:v>
                </c:pt>
                <c:pt idx="32">
                  <c:v>39205</c:v>
                </c:pt>
                <c:pt idx="33">
                  <c:v>39206</c:v>
                </c:pt>
                <c:pt idx="34">
                  <c:v>39207</c:v>
                </c:pt>
                <c:pt idx="35">
                  <c:v>39208</c:v>
                </c:pt>
                <c:pt idx="36">
                  <c:v>39209</c:v>
                </c:pt>
                <c:pt idx="37">
                  <c:v>39210</c:v>
                </c:pt>
                <c:pt idx="38">
                  <c:v>39211</c:v>
                </c:pt>
                <c:pt idx="39">
                  <c:v>39212</c:v>
                </c:pt>
                <c:pt idx="40">
                  <c:v>39213</c:v>
                </c:pt>
                <c:pt idx="41">
                  <c:v>39214</c:v>
                </c:pt>
                <c:pt idx="42">
                  <c:v>39215</c:v>
                </c:pt>
                <c:pt idx="43">
                  <c:v>39216</c:v>
                </c:pt>
                <c:pt idx="44">
                  <c:v>39217</c:v>
                </c:pt>
                <c:pt idx="45">
                  <c:v>39218</c:v>
                </c:pt>
                <c:pt idx="46">
                  <c:v>39219</c:v>
                </c:pt>
                <c:pt idx="47">
                  <c:v>39220</c:v>
                </c:pt>
                <c:pt idx="48">
                  <c:v>39221</c:v>
                </c:pt>
                <c:pt idx="49">
                  <c:v>39222</c:v>
                </c:pt>
                <c:pt idx="50">
                  <c:v>39223</c:v>
                </c:pt>
                <c:pt idx="51">
                  <c:v>39224</c:v>
                </c:pt>
                <c:pt idx="52">
                  <c:v>39225</c:v>
                </c:pt>
                <c:pt idx="53">
                  <c:v>39226</c:v>
                </c:pt>
                <c:pt idx="54">
                  <c:v>39227</c:v>
                </c:pt>
                <c:pt idx="55">
                  <c:v>39228</c:v>
                </c:pt>
                <c:pt idx="56">
                  <c:v>39229</c:v>
                </c:pt>
                <c:pt idx="57">
                  <c:v>39230</c:v>
                </c:pt>
                <c:pt idx="58">
                  <c:v>39231</c:v>
                </c:pt>
                <c:pt idx="59">
                  <c:v>39232</c:v>
                </c:pt>
                <c:pt idx="60">
                  <c:v>39233</c:v>
                </c:pt>
              </c:numCache>
            </c:numRef>
          </c:xVal>
          <c:yVal>
            <c:numRef>
              <c:f>'2007_AirTemp'!$D$2:$D$62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4.9410000000000007</c:v>
                </c:pt>
                <c:pt idx="3">
                  <c:v>4.9410000000000007</c:v>
                </c:pt>
                <c:pt idx="4">
                  <c:v>4.9410000000000007</c:v>
                </c:pt>
                <c:pt idx="5">
                  <c:v>4.9410000000000007</c:v>
                </c:pt>
                <c:pt idx="6">
                  <c:v>4.9410000000000007</c:v>
                </c:pt>
                <c:pt idx="7">
                  <c:v>4.9410000000000007</c:v>
                </c:pt>
                <c:pt idx="8">
                  <c:v>16.726200000000002</c:v>
                </c:pt>
                <c:pt idx="9">
                  <c:v>25.510200000000005</c:v>
                </c:pt>
                <c:pt idx="10">
                  <c:v>34.367400000000004</c:v>
                </c:pt>
                <c:pt idx="11">
                  <c:v>50.251800000000003</c:v>
                </c:pt>
                <c:pt idx="12">
                  <c:v>91.243799999999993</c:v>
                </c:pt>
                <c:pt idx="13">
                  <c:v>123.7812</c:v>
                </c:pt>
                <c:pt idx="14">
                  <c:v>135.79999999999998</c:v>
                </c:pt>
                <c:pt idx="15">
                  <c:v>135.79999999999998</c:v>
                </c:pt>
                <c:pt idx="16">
                  <c:v>135.79999999999998</c:v>
                </c:pt>
                <c:pt idx="17">
                  <c:v>135.79999999999998</c:v>
                </c:pt>
                <c:pt idx="18">
                  <c:v>135.79999999999998</c:v>
                </c:pt>
                <c:pt idx="19">
                  <c:v>135.79999999999998</c:v>
                </c:pt>
                <c:pt idx="20">
                  <c:v>135.79999999999998</c:v>
                </c:pt>
                <c:pt idx="21">
                  <c:v>135.79999999999998</c:v>
                </c:pt>
                <c:pt idx="22">
                  <c:v>135.79999999999998</c:v>
                </c:pt>
                <c:pt idx="23">
                  <c:v>135.79999999999998</c:v>
                </c:pt>
                <c:pt idx="24">
                  <c:v>135.79999999999998</c:v>
                </c:pt>
                <c:pt idx="25">
                  <c:v>135.79999999999998</c:v>
                </c:pt>
                <c:pt idx="26">
                  <c:v>135.79999999999998</c:v>
                </c:pt>
                <c:pt idx="27">
                  <c:v>135.79999999999998</c:v>
                </c:pt>
                <c:pt idx="28">
                  <c:v>135.79999999999998</c:v>
                </c:pt>
                <c:pt idx="29">
                  <c:v>135.79999999999998</c:v>
                </c:pt>
                <c:pt idx="30">
                  <c:v>135.79999999999998</c:v>
                </c:pt>
                <c:pt idx="31">
                  <c:v>135.79999999999998</c:v>
                </c:pt>
                <c:pt idx="32">
                  <c:v>135.79999999999998</c:v>
                </c:pt>
                <c:pt idx="33">
                  <c:v>135.79999999999998</c:v>
                </c:pt>
                <c:pt idx="34">
                  <c:v>135.79999999999998</c:v>
                </c:pt>
                <c:pt idx="35">
                  <c:v>135.79999999999998</c:v>
                </c:pt>
                <c:pt idx="36">
                  <c:v>135.79999999999998</c:v>
                </c:pt>
                <c:pt idx="37">
                  <c:v>135.79999999999998</c:v>
                </c:pt>
                <c:pt idx="38">
                  <c:v>135.79999999999998</c:v>
                </c:pt>
                <c:pt idx="39">
                  <c:v>135.79999999999998</c:v>
                </c:pt>
                <c:pt idx="40">
                  <c:v>135.79999999999998</c:v>
                </c:pt>
                <c:pt idx="41">
                  <c:v>135.79999999999998</c:v>
                </c:pt>
                <c:pt idx="42">
                  <c:v>135.79999999999998</c:v>
                </c:pt>
                <c:pt idx="43">
                  <c:v>135.79999999999998</c:v>
                </c:pt>
                <c:pt idx="44">
                  <c:v>135.79999999999998</c:v>
                </c:pt>
                <c:pt idx="45">
                  <c:v>135.79999999999998</c:v>
                </c:pt>
                <c:pt idx="46">
                  <c:v>135.79999999999998</c:v>
                </c:pt>
                <c:pt idx="47">
                  <c:v>135.79999999999998</c:v>
                </c:pt>
                <c:pt idx="48">
                  <c:v>135.79999999999998</c:v>
                </c:pt>
                <c:pt idx="49">
                  <c:v>135.79999999999998</c:v>
                </c:pt>
                <c:pt idx="50">
                  <c:v>135.79999999999998</c:v>
                </c:pt>
                <c:pt idx="51">
                  <c:v>135.79999999999998</c:v>
                </c:pt>
                <c:pt idx="52">
                  <c:v>135.79999999999998</c:v>
                </c:pt>
                <c:pt idx="53">
                  <c:v>135.79999999999998</c:v>
                </c:pt>
                <c:pt idx="54">
                  <c:v>135.79999999999998</c:v>
                </c:pt>
                <c:pt idx="55">
                  <c:v>135.79999999999998</c:v>
                </c:pt>
                <c:pt idx="56">
                  <c:v>135.79999999999998</c:v>
                </c:pt>
                <c:pt idx="57">
                  <c:v>135.79999999999998</c:v>
                </c:pt>
                <c:pt idx="58">
                  <c:v>135.79999999999998</c:v>
                </c:pt>
                <c:pt idx="59">
                  <c:v>135.79999999999998</c:v>
                </c:pt>
                <c:pt idx="60">
                  <c:v>135.79999999999998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3-0244-A8AB-7331830F5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87248"/>
        <c:axId val="224088960"/>
      </c:scatterChart>
      <c:valAx>
        <c:axId val="22408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88960"/>
        <c:crosses val="autoZero"/>
        <c:crossBetween val="midCat"/>
      </c:valAx>
      <c:valAx>
        <c:axId val="2240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8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170448</xdr:colOff>
      <xdr:row>5</xdr:row>
      <xdr:rowOff>139031</xdr:rowOff>
    </xdr:from>
    <xdr:to>
      <xdr:col>14</xdr:col>
      <xdr:colOff>598237</xdr:colOff>
      <xdr:row>19</xdr:row>
      <xdr:rowOff>74863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3FEC9-B3D2-2AAF-1C2A-74B96E572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FBEA-367D-324D-9BF7-F0223246ECE4}">
  <dimension ref="A1:N62"/>
  <sheetViews>
    <sheetView tabSelected="1" zoomScale="190" zoomScaleNormal="190" workbookViewId="0">
      <selection activeCell="F14" sqref="F14"/>
    </sheetView>
  </sheetViews>
  <sheetFormatPr baseColWidth="10" defaultRowHeight="16" x14ac:dyDescent="0.2"/>
  <cols>
    <col min="4" max="4" width="13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10</v>
      </c>
      <c r="G1" t="s">
        <v>13</v>
      </c>
      <c r="H1" t="s">
        <v>11</v>
      </c>
      <c r="I1" t="s">
        <v>12</v>
      </c>
      <c r="L1" t="s">
        <v>4</v>
      </c>
    </row>
    <row r="2" spans="1:14" x14ac:dyDescent="0.2">
      <c r="A2" s="1">
        <v>39173</v>
      </c>
      <c r="B2">
        <v>-6.08</v>
      </c>
      <c r="C2">
        <v>135.80000000000001</v>
      </c>
      <c r="D2">
        <f>G2</f>
        <v>0</v>
      </c>
      <c r="E2">
        <f>$M$2*(B2-$M$3)</f>
        <v>-22.252800000000001</v>
      </c>
      <c r="F2">
        <f>IF(E2&lt;0,0,E2)</f>
        <v>0</v>
      </c>
      <c r="G2">
        <f>IF(F2&gt;C2,C2,F2)</f>
        <v>0</v>
      </c>
      <c r="H2">
        <f>C2</f>
        <v>135.80000000000001</v>
      </c>
      <c r="I2">
        <f>IF(H2&gt;0,H2,0)</f>
        <v>135.80000000000001</v>
      </c>
      <c r="L2" t="s">
        <v>5</v>
      </c>
      <c r="M2">
        <v>3.66</v>
      </c>
      <c r="N2" t="s">
        <v>8</v>
      </c>
    </row>
    <row r="3" spans="1:14" x14ac:dyDescent="0.2">
      <c r="A3" s="1">
        <v>39174</v>
      </c>
      <c r="B3">
        <v>-2.21</v>
      </c>
      <c r="C3">
        <f>I3</f>
        <v>135.80000000000001</v>
      </c>
      <c r="D3">
        <f>D2+G3</f>
        <v>0</v>
      </c>
      <c r="E3">
        <f>$M$2*(B3-$M$3)</f>
        <v>-8.0885999999999996</v>
      </c>
      <c r="F3">
        <f t="shared" ref="F3:F62" si="0">IF(E3&lt;0,0,E3)</f>
        <v>0</v>
      </c>
      <c r="G3">
        <f t="shared" ref="G3:G62" si="1">IF(F3&gt;C3,C3,F3)</f>
        <v>0</v>
      </c>
      <c r="H3">
        <f>H2-F2</f>
        <v>135.80000000000001</v>
      </c>
      <c r="I3">
        <f t="shared" ref="I3:I62" si="2">IF(H3&gt;0,H3,0)</f>
        <v>135.80000000000001</v>
      </c>
      <c r="L3" t="s">
        <v>6</v>
      </c>
      <c r="M3">
        <v>0</v>
      </c>
      <c r="N3" t="s">
        <v>9</v>
      </c>
    </row>
    <row r="4" spans="1:14" x14ac:dyDescent="0.2">
      <c r="A4" s="1">
        <v>39175</v>
      </c>
      <c r="B4" s="2">
        <v>1.35</v>
      </c>
      <c r="C4">
        <f t="shared" ref="C4:C28" si="3">I4</f>
        <v>135.80000000000001</v>
      </c>
      <c r="D4">
        <f t="shared" ref="D4:D62" si="4">D3+G4</f>
        <v>4.9410000000000007</v>
      </c>
      <c r="E4">
        <f>$M$2*(B4-$M$3)</f>
        <v>4.9410000000000007</v>
      </c>
      <c r="F4">
        <f t="shared" si="0"/>
        <v>4.9410000000000007</v>
      </c>
      <c r="G4">
        <f t="shared" si="1"/>
        <v>4.9410000000000007</v>
      </c>
      <c r="H4">
        <f t="shared" ref="H4:H62" si="5">H3-F3</f>
        <v>135.80000000000001</v>
      </c>
      <c r="I4">
        <f t="shared" si="2"/>
        <v>135.80000000000001</v>
      </c>
    </row>
    <row r="5" spans="1:14" x14ac:dyDescent="0.2">
      <c r="A5" s="1">
        <v>39176</v>
      </c>
      <c r="B5">
        <v>-4.42</v>
      </c>
      <c r="C5">
        <f t="shared" si="3"/>
        <v>130.85900000000001</v>
      </c>
      <c r="D5">
        <f t="shared" si="4"/>
        <v>4.9410000000000007</v>
      </c>
      <c r="E5">
        <f>$M$2*(B5-$M$3)</f>
        <v>-16.177199999999999</v>
      </c>
      <c r="F5">
        <f t="shared" si="0"/>
        <v>0</v>
      </c>
      <c r="G5">
        <f t="shared" si="1"/>
        <v>0</v>
      </c>
      <c r="H5">
        <f t="shared" si="5"/>
        <v>130.85900000000001</v>
      </c>
      <c r="I5">
        <f t="shared" si="2"/>
        <v>130.85900000000001</v>
      </c>
    </row>
    <row r="6" spans="1:14" x14ac:dyDescent="0.2">
      <c r="A6" s="1">
        <v>39177</v>
      </c>
      <c r="B6">
        <v>-7.6</v>
      </c>
      <c r="C6">
        <f t="shared" si="3"/>
        <v>130.85900000000001</v>
      </c>
      <c r="D6">
        <f t="shared" si="4"/>
        <v>4.9410000000000007</v>
      </c>
      <c r="E6">
        <f>$M$2*(B6-$M$3)</f>
        <v>-27.815999999999999</v>
      </c>
      <c r="F6">
        <f t="shared" si="0"/>
        <v>0</v>
      </c>
      <c r="G6">
        <f t="shared" si="1"/>
        <v>0</v>
      </c>
      <c r="H6">
        <f t="shared" si="5"/>
        <v>130.85900000000001</v>
      </c>
      <c r="I6">
        <f t="shared" si="2"/>
        <v>130.85900000000001</v>
      </c>
    </row>
    <row r="7" spans="1:14" x14ac:dyDescent="0.2">
      <c r="A7" s="1">
        <v>39178</v>
      </c>
      <c r="B7">
        <v>-2.63</v>
      </c>
      <c r="C7">
        <f t="shared" si="3"/>
        <v>130.85900000000001</v>
      </c>
      <c r="D7">
        <f t="shared" si="4"/>
        <v>4.9410000000000007</v>
      </c>
      <c r="E7">
        <f>$M$2*(B7-$M$3)</f>
        <v>-9.6257999999999999</v>
      </c>
      <c r="F7">
        <f t="shared" si="0"/>
        <v>0</v>
      </c>
      <c r="G7">
        <f t="shared" si="1"/>
        <v>0</v>
      </c>
      <c r="H7">
        <f t="shared" si="5"/>
        <v>130.85900000000001</v>
      </c>
      <c r="I7">
        <f t="shared" si="2"/>
        <v>130.85900000000001</v>
      </c>
    </row>
    <row r="8" spans="1:14" x14ac:dyDescent="0.2">
      <c r="A8" s="1">
        <v>39179</v>
      </c>
      <c r="B8">
        <v>-2.13</v>
      </c>
      <c r="C8">
        <f t="shared" si="3"/>
        <v>130.85900000000001</v>
      </c>
      <c r="D8">
        <f t="shared" si="4"/>
        <v>4.9410000000000007</v>
      </c>
      <c r="E8">
        <f>$M$2*(B8-$M$3)</f>
        <v>-7.7957999999999998</v>
      </c>
      <c r="F8">
        <f t="shared" si="0"/>
        <v>0</v>
      </c>
      <c r="G8">
        <f t="shared" si="1"/>
        <v>0</v>
      </c>
      <c r="H8">
        <f t="shared" si="5"/>
        <v>130.85900000000001</v>
      </c>
      <c r="I8">
        <f t="shared" si="2"/>
        <v>130.85900000000001</v>
      </c>
    </row>
    <row r="9" spans="1:14" x14ac:dyDescent="0.2">
      <c r="A9" s="1">
        <v>39180</v>
      </c>
      <c r="B9">
        <v>-0.08</v>
      </c>
      <c r="C9">
        <f t="shared" si="3"/>
        <v>130.85900000000001</v>
      </c>
      <c r="D9">
        <f t="shared" si="4"/>
        <v>4.9410000000000007</v>
      </c>
      <c r="E9">
        <f>$M$2*(B9-$M$3)</f>
        <v>-0.2928</v>
      </c>
      <c r="F9">
        <f t="shared" si="0"/>
        <v>0</v>
      </c>
      <c r="G9">
        <f t="shared" si="1"/>
        <v>0</v>
      </c>
      <c r="H9">
        <f t="shared" si="5"/>
        <v>130.85900000000001</v>
      </c>
      <c r="I9">
        <f t="shared" si="2"/>
        <v>130.85900000000001</v>
      </c>
    </row>
    <row r="10" spans="1:14" x14ac:dyDescent="0.2">
      <c r="A10" s="1">
        <v>39181</v>
      </c>
      <c r="B10" s="2">
        <v>3.22</v>
      </c>
      <c r="C10">
        <f t="shared" si="3"/>
        <v>130.85900000000001</v>
      </c>
      <c r="D10">
        <f t="shared" si="4"/>
        <v>16.726200000000002</v>
      </c>
      <c r="E10">
        <f>$M$2*(B10-$M$3)</f>
        <v>11.785200000000001</v>
      </c>
      <c r="F10">
        <f t="shared" si="0"/>
        <v>11.785200000000001</v>
      </c>
      <c r="G10">
        <f t="shared" si="1"/>
        <v>11.785200000000001</v>
      </c>
      <c r="H10">
        <f t="shared" si="5"/>
        <v>130.85900000000001</v>
      </c>
      <c r="I10">
        <f t="shared" si="2"/>
        <v>130.85900000000001</v>
      </c>
    </row>
    <row r="11" spans="1:14" x14ac:dyDescent="0.2">
      <c r="A11" s="1">
        <v>39182</v>
      </c>
      <c r="B11">
        <v>2.4</v>
      </c>
      <c r="C11">
        <f t="shared" si="3"/>
        <v>119.07380000000001</v>
      </c>
      <c r="D11">
        <f t="shared" si="4"/>
        <v>25.510200000000005</v>
      </c>
      <c r="E11">
        <f>$M$2*(B11-$M$3)</f>
        <v>8.7840000000000007</v>
      </c>
      <c r="F11">
        <f t="shared" si="0"/>
        <v>8.7840000000000007</v>
      </c>
      <c r="G11">
        <f t="shared" si="1"/>
        <v>8.7840000000000007</v>
      </c>
      <c r="H11">
        <f t="shared" si="5"/>
        <v>119.07380000000001</v>
      </c>
      <c r="I11">
        <f t="shared" si="2"/>
        <v>119.07380000000001</v>
      </c>
    </row>
    <row r="12" spans="1:14" x14ac:dyDescent="0.2">
      <c r="A12" s="1">
        <v>39183</v>
      </c>
      <c r="B12" s="2">
        <v>2.42</v>
      </c>
      <c r="C12">
        <f t="shared" si="3"/>
        <v>110.2898</v>
      </c>
      <c r="D12">
        <f t="shared" si="4"/>
        <v>34.367400000000004</v>
      </c>
      <c r="E12">
        <f>$M$2*(B12-$M$3)</f>
        <v>8.8572000000000006</v>
      </c>
      <c r="F12">
        <f t="shared" si="0"/>
        <v>8.8572000000000006</v>
      </c>
      <c r="G12">
        <f t="shared" si="1"/>
        <v>8.8572000000000006</v>
      </c>
      <c r="H12">
        <f t="shared" si="5"/>
        <v>110.2898</v>
      </c>
      <c r="I12">
        <f t="shared" si="2"/>
        <v>110.2898</v>
      </c>
    </row>
    <row r="13" spans="1:14" x14ac:dyDescent="0.2">
      <c r="A13" s="1">
        <v>39184</v>
      </c>
      <c r="B13" s="2">
        <v>4.34</v>
      </c>
      <c r="C13">
        <f t="shared" si="3"/>
        <v>101.43259999999999</v>
      </c>
      <c r="D13">
        <f t="shared" si="4"/>
        <v>50.251800000000003</v>
      </c>
      <c r="E13">
        <f>$M$2*(B13-$M$3)</f>
        <v>15.884399999999999</v>
      </c>
      <c r="F13">
        <f t="shared" si="0"/>
        <v>15.884399999999999</v>
      </c>
      <c r="G13">
        <f t="shared" si="1"/>
        <v>15.884399999999999</v>
      </c>
      <c r="H13">
        <f t="shared" si="5"/>
        <v>101.43259999999999</v>
      </c>
      <c r="I13">
        <f t="shared" si="2"/>
        <v>101.43259999999999</v>
      </c>
    </row>
    <row r="14" spans="1:14" x14ac:dyDescent="0.2">
      <c r="A14" s="1">
        <v>39185</v>
      </c>
      <c r="B14" s="2">
        <v>11.2</v>
      </c>
      <c r="C14">
        <f t="shared" si="3"/>
        <v>85.548199999999994</v>
      </c>
      <c r="D14">
        <f t="shared" si="4"/>
        <v>91.243799999999993</v>
      </c>
      <c r="E14">
        <f>$M$2*(B14-$M$3)</f>
        <v>40.991999999999997</v>
      </c>
      <c r="F14">
        <f t="shared" si="0"/>
        <v>40.991999999999997</v>
      </c>
      <c r="G14">
        <f t="shared" si="1"/>
        <v>40.991999999999997</v>
      </c>
      <c r="H14">
        <f t="shared" si="5"/>
        <v>85.548199999999994</v>
      </c>
      <c r="I14">
        <f t="shared" si="2"/>
        <v>85.548199999999994</v>
      </c>
    </row>
    <row r="15" spans="1:14" x14ac:dyDescent="0.2">
      <c r="A15" s="1">
        <v>39186</v>
      </c>
      <c r="B15" s="2">
        <v>8.89</v>
      </c>
      <c r="C15">
        <f t="shared" si="3"/>
        <v>44.556199999999997</v>
      </c>
      <c r="D15">
        <f t="shared" si="4"/>
        <v>123.7812</v>
      </c>
      <c r="E15">
        <f>$M$2*(B15-$M$3)</f>
        <v>32.537400000000005</v>
      </c>
      <c r="F15">
        <f t="shared" si="0"/>
        <v>32.537400000000005</v>
      </c>
      <c r="G15">
        <f t="shared" si="1"/>
        <v>32.537400000000005</v>
      </c>
      <c r="H15">
        <f t="shared" si="5"/>
        <v>44.556199999999997</v>
      </c>
      <c r="I15">
        <f t="shared" si="2"/>
        <v>44.556199999999997</v>
      </c>
    </row>
    <row r="16" spans="1:14" x14ac:dyDescent="0.2">
      <c r="A16" s="1">
        <v>39187</v>
      </c>
      <c r="B16" s="2">
        <v>5.6</v>
      </c>
      <c r="C16">
        <f t="shared" si="3"/>
        <v>12.018799999999992</v>
      </c>
      <c r="D16">
        <f t="shared" si="4"/>
        <v>135.79999999999998</v>
      </c>
      <c r="E16">
        <f>$M$2*(B16-$M$3)</f>
        <v>20.495999999999999</v>
      </c>
      <c r="F16">
        <f t="shared" si="0"/>
        <v>20.495999999999999</v>
      </c>
      <c r="G16">
        <f t="shared" si="1"/>
        <v>12.018799999999992</v>
      </c>
      <c r="H16">
        <f t="shared" si="5"/>
        <v>12.018799999999992</v>
      </c>
      <c r="I16">
        <f t="shared" si="2"/>
        <v>12.018799999999992</v>
      </c>
    </row>
    <row r="17" spans="1:9" x14ac:dyDescent="0.2">
      <c r="A17" s="1">
        <v>39188</v>
      </c>
      <c r="B17" s="2">
        <v>3.26</v>
      </c>
      <c r="C17">
        <f t="shared" si="3"/>
        <v>0</v>
      </c>
      <c r="D17">
        <f t="shared" si="4"/>
        <v>135.79999999999998</v>
      </c>
      <c r="E17">
        <f>$M$2*(B17-$M$3)</f>
        <v>11.9316</v>
      </c>
      <c r="F17">
        <f t="shared" si="0"/>
        <v>11.9316</v>
      </c>
      <c r="G17">
        <f t="shared" si="1"/>
        <v>0</v>
      </c>
      <c r="H17">
        <f t="shared" si="5"/>
        <v>-8.477200000000007</v>
      </c>
      <c r="I17">
        <f t="shared" si="2"/>
        <v>0</v>
      </c>
    </row>
    <row r="18" spans="1:9" x14ac:dyDescent="0.2">
      <c r="A18" s="1">
        <v>39189</v>
      </c>
      <c r="B18" s="2">
        <v>6.99</v>
      </c>
      <c r="C18">
        <f t="shared" si="3"/>
        <v>0</v>
      </c>
      <c r="D18">
        <f t="shared" si="4"/>
        <v>135.79999999999998</v>
      </c>
      <c r="E18">
        <f>$M$2*(B18-$M$3)</f>
        <v>25.583400000000001</v>
      </c>
      <c r="F18">
        <f t="shared" si="0"/>
        <v>25.583400000000001</v>
      </c>
      <c r="G18">
        <f t="shared" si="1"/>
        <v>0</v>
      </c>
      <c r="H18">
        <f t="shared" si="5"/>
        <v>-20.408800000000006</v>
      </c>
      <c r="I18">
        <f t="shared" si="2"/>
        <v>0</v>
      </c>
    </row>
    <row r="19" spans="1:9" x14ac:dyDescent="0.2">
      <c r="A19" s="1">
        <v>39190</v>
      </c>
      <c r="B19" s="2">
        <v>4.8099999999999996</v>
      </c>
      <c r="C19">
        <f t="shared" si="3"/>
        <v>0</v>
      </c>
      <c r="D19">
        <f t="shared" si="4"/>
        <v>135.79999999999998</v>
      </c>
      <c r="E19">
        <f>$M$2*(B19-$M$3)</f>
        <v>17.604599999999998</v>
      </c>
      <c r="F19">
        <f t="shared" si="0"/>
        <v>17.604599999999998</v>
      </c>
      <c r="G19">
        <f t="shared" si="1"/>
        <v>0</v>
      </c>
      <c r="H19">
        <f t="shared" si="5"/>
        <v>-45.992200000000011</v>
      </c>
      <c r="I19">
        <f t="shared" si="2"/>
        <v>0</v>
      </c>
    </row>
    <row r="20" spans="1:9" x14ac:dyDescent="0.2">
      <c r="A20" s="1">
        <v>39191</v>
      </c>
      <c r="B20">
        <v>-1.58</v>
      </c>
      <c r="C20">
        <f t="shared" si="3"/>
        <v>0</v>
      </c>
      <c r="D20">
        <f t="shared" si="4"/>
        <v>135.79999999999998</v>
      </c>
      <c r="E20">
        <f>$M$2*(B20-$M$3)</f>
        <v>-5.7828000000000008</v>
      </c>
      <c r="F20">
        <f t="shared" si="0"/>
        <v>0</v>
      </c>
      <c r="G20">
        <f t="shared" si="1"/>
        <v>0</v>
      </c>
      <c r="H20">
        <f t="shared" si="5"/>
        <v>-63.596800000000009</v>
      </c>
      <c r="I20">
        <f t="shared" si="2"/>
        <v>0</v>
      </c>
    </row>
    <row r="21" spans="1:9" x14ac:dyDescent="0.2">
      <c r="A21" s="1">
        <v>39192</v>
      </c>
      <c r="B21" s="2">
        <v>2.12</v>
      </c>
      <c r="C21">
        <f t="shared" si="3"/>
        <v>0</v>
      </c>
      <c r="D21">
        <f t="shared" si="4"/>
        <v>135.79999999999998</v>
      </c>
      <c r="E21">
        <f>$M$2*(B21-$M$3)</f>
        <v>7.7592000000000008</v>
      </c>
      <c r="F21">
        <f t="shared" si="0"/>
        <v>7.7592000000000008</v>
      </c>
      <c r="G21">
        <f t="shared" si="1"/>
        <v>0</v>
      </c>
      <c r="H21">
        <f t="shared" si="5"/>
        <v>-63.596800000000009</v>
      </c>
      <c r="I21">
        <f t="shared" si="2"/>
        <v>0</v>
      </c>
    </row>
    <row r="22" spans="1:9" x14ac:dyDescent="0.2">
      <c r="A22" s="1">
        <v>39193</v>
      </c>
      <c r="B22">
        <v>-7.21</v>
      </c>
      <c r="C22">
        <f t="shared" si="3"/>
        <v>0</v>
      </c>
      <c r="D22">
        <f t="shared" si="4"/>
        <v>135.79999999999998</v>
      </c>
      <c r="E22">
        <f>$M$2*(B22-$M$3)</f>
        <v>-26.3886</v>
      </c>
      <c r="F22">
        <f t="shared" si="0"/>
        <v>0</v>
      </c>
      <c r="G22">
        <f t="shared" si="1"/>
        <v>0</v>
      </c>
      <c r="H22">
        <f t="shared" si="5"/>
        <v>-71.356000000000009</v>
      </c>
      <c r="I22">
        <f t="shared" si="2"/>
        <v>0</v>
      </c>
    </row>
    <row r="23" spans="1:9" x14ac:dyDescent="0.2">
      <c r="A23" s="1">
        <v>39194</v>
      </c>
      <c r="B23">
        <v>-7.23</v>
      </c>
      <c r="C23">
        <f t="shared" si="3"/>
        <v>0</v>
      </c>
      <c r="D23">
        <f t="shared" si="4"/>
        <v>135.79999999999998</v>
      </c>
      <c r="E23">
        <f>$M$2*(B23-$M$3)</f>
        <v>-26.461800000000004</v>
      </c>
      <c r="F23">
        <f t="shared" si="0"/>
        <v>0</v>
      </c>
      <c r="G23">
        <f t="shared" si="1"/>
        <v>0</v>
      </c>
      <c r="H23">
        <f t="shared" si="5"/>
        <v>-71.356000000000009</v>
      </c>
      <c r="I23">
        <f t="shared" si="2"/>
        <v>0</v>
      </c>
    </row>
    <row r="24" spans="1:9" x14ac:dyDescent="0.2">
      <c r="A24" s="1">
        <v>39195</v>
      </c>
      <c r="B24">
        <v>-4.46</v>
      </c>
      <c r="C24">
        <f t="shared" si="3"/>
        <v>0</v>
      </c>
      <c r="D24">
        <f t="shared" si="4"/>
        <v>135.79999999999998</v>
      </c>
      <c r="E24">
        <f>$M$2*(B24-$M$3)</f>
        <v>-16.323599999999999</v>
      </c>
      <c r="F24">
        <f t="shared" si="0"/>
        <v>0</v>
      </c>
      <c r="G24">
        <f t="shared" si="1"/>
        <v>0</v>
      </c>
      <c r="H24">
        <f t="shared" si="5"/>
        <v>-71.356000000000009</v>
      </c>
      <c r="I24">
        <f t="shared" si="2"/>
        <v>0</v>
      </c>
    </row>
    <row r="25" spans="1:9" x14ac:dyDescent="0.2">
      <c r="A25" s="1">
        <v>39196</v>
      </c>
      <c r="B25">
        <v>-1.42</v>
      </c>
      <c r="C25">
        <f t="shared" si="3"/>
        <v>0</v>
      </c>
      <c r="D25">
        <f t="shared" si="4"/>
        <v>135.79999999999998</v>
      </c>
      <c r="E25">
        <f>$M$2*(B25-$M$3)</f>
        <v>-5.1971999999999996</v>
      </c>
      <c r="F25">
        <f t="shared" si="0"/>
        <v>0</v>
      </c>
      <c r="G25">
        <f t="shared" si="1"/>
        <v>0</v>
      </c>
      <c r="H25">
        <f t="shared" si="5"/>
        <v>-71.356000000000009</v>
      </c>
      <c r="I25">
        <f t="shared" si="2"/>
        <v>0</v>
      </c>
    </row>
    <row r="26" spans="1:9" x14ac:dyDescent="0.2">
      <c r="A26" s="1">
        <v>39197</v>
      </c>
      <c r="B26" s="2">
        <v>0.92</v>
      </c>
      <c r="C26">
        <f t="shared" si="3"/>
        <v>0</v>
      </c>
      <c r="D26">
        <f t="shared" si="4"/>
        <v>135.79999999999998</v>
      </c>
      <c r="E26">
        <f>$M$2*(B26-$M$3)</f>
        <v>3.3672000000000004</v>
      </c>
      <c r="F26">
        <f t="shared" si="0"/>
        <v>3.3672000000000004</v>
      </c>
      <c r="G26">
        <f t="shared" si="1"/>
        <v>0</v>
      </c>
      <c r="H26">
        <f t="shared" si="5"/>
        <v>-71.356000000000009</v>
      </c>
      <c r="I26">
        <f t="shared" si="2"/>
        <v>0</v>
      </c>
    </row>
    <row r="27" spans="1:9" x14ac:dyDescent="0.2">
      <c r="A27" s="1">
        <v>39198</v>
      </c>
      <c r="B27">
        <v>-0.51</v>
      </c>
      <c r="C27">
        <f t="shared" si="3"/>
        <v>0</v>
      </c>
      <c r="D27">
        <f t="shared" si="4"/>
        <v>135.79999999999998</v>
      </c>
      <c r="E27">
        <f>$M$2*(B27-$M$3)</f>
        <v>-1.8666</v>
      </c>
      <c r="F27">
        <f t="shared" si="0"/>
        <v>0</v>
      </c>
      <c r="G27">
        <f t="shared" si="1"/>
        <v>0</v>
      </c>
      <c r="H27">
        <f t="shared" si="5"/>
        <v>-74.723200000000006</v>
      </c>
      <c r="I27">
        <f t="shared" si="2"/>
        <v>0</v>
      </c>
    </row>
    <row r="28" spans="1:9" x14ac:dyDescent="0.2">
      <c r="A28" s="1">
        <v>39199</v>
      </c>
      <c r="B28" s="2">
        <v>1.36</v>
      </c>
      <c r="C28">
        <f t="shared" si="3"/>
        <v>0</v>
      </c>
      <c r="D28">
        <f t="shared" si="4"/>
        <v>135.79999999999998</v>
      </c>
      <c r="E28">
        <f>$M$2*(B28-$M$3)</f>
        <v>4.9776000000000007</v>
      </c>
      <c r="F28">
        <f t="shared" si="0"/>
        <v>4.9776000000000007</v>
      </c>
      <c r="G28">
        <f t="shared" si="1"/>
        <v>0</v>
      </c>
      <c r="H28">
        <f t="shared" si="5"/>
        <v>-74.723200000000006</v>
      </c>
      <c r="I28">
        <f t="shared" si="2"/>
        <v>0</v>
      </c>
    </row>
    <row r="29" spans="1:9" x14ac:dyDescent="0.2">
      <c r="A29" s="1">
        <v>39200</v>
      </c>
      <c r="B29" s="2">
        <v>5.47</v>
      </c>
      <c r="D29">
        <f t="shared" si="4"/>
        <v>135.79999999999998</v>
      </c>
      <c r="E29">
        <f>$M$2*(B29-$M$3)</f>
        <v>20.020199999999999</v>
      </c>
      <c r="F29">
        <f t="shared" si="0"/>
        <v>20.020199999999999</v>
      </c>
      <c r="G29">
        <f t="shared" si="1"/>
        <v>0</v>
      </c>
      <c r="H29">
        <f t="shared" si="5"/>
        <v>-79.700800000000001</v>
      </c>
      <c r="I29">
        <f t="shared" si="2"/>
        <v>0</v>
      </c>
    </row>
    <row r="30" spans="1:9" x14ac:dyDescent="0.2">
      <c r="A30" s="1">
        <v>39201</v>
      </c>
      <c r="B30" s="2">
        <v>9.7100000000000009</v>
      </c>
      <c r="D30">
        <f t="shared" si="4"/>
        <v>135.79999999999998</v>
      </c>
      <c r="E30">
        <f>$M$2*(B30-$M$3)</f>
        <v>35.538600000000002</v>
      </c>
      <c r="F30">
        <f t="shared" si="0"/>
        <v>35.538600000000002</v>
      </c>
      <c r="G30">
        <f t="shared" si="1"/>
        <v>0</v>
      </c>
      <c r="H30">
        <f t="shared" si="5"/>
        <v>-99.721000000000004</v>
      </c>
      <c r="I30">
        <f t="shared" si="2"/>
        <v>0</v>
      </c>
    </row>
    <row r="31" spans="1:9" x14ac:dyDescent="0.2">
      <c r="A31" s="1">
        <v>39202</v>
      </c>
      <c r="B31">
        <v>9.11</v>
      </c>
      <c r="D31">
        <f t="shared" si="4"/>
        <v>135.79999999999998</v>
      </c>
      <c r="E31">
        <f>$M$2*(B31-$M$3)</f>
        <v>33.342599999999997</v>
      </c>
      <c r="F31">
        <f t="shared" si="0"/>
        <v>33.342599999999997</v>
      </c>
      <c r="G31">
        <f t="shared" si="1"/>
        <v>0</v>
      </c>
      <c r="H31">
        <f t="shared" si="5"/>
        <v>-135.25960000000001</v>
      </c>
      <c r="I31">
        <f t="shared" si="2"/>
        <v>0</v>
      </c>
    </row>
    <row r="32" spans="1:9" x14ac:dyDescent="0.2">
      <c r="A32" s="1">
        <v>39203</v>
      </c>
      <c r="B32" s="2">
        <v>6.25</v>
      </c>
      <c r="D32">
        <f t="shared" si="4"/>
        <v>135.79999999999998</v>
      </c>
      <c r="E32">
        <f>$M$2*(B32-$M$3)</f>
        <v>22.875</v>
      </c>
      <c r="F32">
        <f t="shared" si="0"/>
        <v>22.875</v>
      </c>
      <c r="G32">
        <f t="shared" si="1"/>
        <v>0</v>
      </c>
      <c r="H32">
        <f t="shared" si="5"/>
        <v>-168.60220000000001</v>
      </c>
      <c r="I32">
        <f t="shared" si="2"/>
        <v>0</v>
      </c>
    </row>
    <row r="33" spans="1:9" x14ac:dyDescent="0.2">
      <c r="A33" s="1">
        <v>39204</v>
      </c>
      <c r="B33" s="2">
        <v>5.58</v>
      </c>
      <c r="D33">
        <f t="shared" si="4"/>
        <v>135.79999999999998</v>
      </c>
      <c r="E33">
        <f>$M$2*(B33-$M$3)</f>
        <v>20.422800000000002</v>
      </c>
      <c r="F33">
        <f t="shared" si="0"/>
        <v>20.422800000000002</v>
      </c>
      <c r="G33">
        <f t="shared" si="1"/>
        <v>0</v>
      </c>
      <c r="H33">
        <f t="shared" si="5"/>
        <v>-191.47720000000001</v>
      </c>
      <c r="I33">
        <f t="shared" si="2"/>
        <v>0</v>
      </c>
    </row>
    <row r="34" spans="1:9" x14ac:dyDescent="0.2">
      <c r="A34" s="1">
        <v>39205</v>
      </c>
      <c r="B34" s="2">
        <v>8.17</v>
      </c>
      <c r="D34">
        <f t="shared" si="4"/>
        <v>135.79999999999998</v>
      </c>
      <c r="E34">
        <f>$M$2*(B34-$M$3)</f>
        <v>29.902200000000001</v>
      </c>
      <c r="F34">
        <f t="shared" si="0"/>
        <v>29.902200000000001</v>
      </c>
      <c r="G34">
        <f t="shared" si="1"/>
        <v>0</v>
      </c>
      <c r="H34">
        <f t="shared" si="5"/>
        <v>-211.9</v>
      </c>
      <c r="I34">
        <f t="shared" si="2"/>
        <v>0</v>
      </c>
    </row>
    <row r="35" spans="1:9" x14ac:dyDescent="0.2">
      <c r="A35" s="1">
        <v>39206</v>
      </c>
      <c r="B35" s="2">
        <v>6.64</v>
      </c>
      <c r="D35">
        <f t="shared" si="4"/>
        <v>135.79999999999998</v>
      </c>
      <c r="E35">
        <f>$M$2*(B35-$M$3)</f>
        <v>24.302399999999999</v>
      </c>
      <c r="F35">
        <f t="shared" si="0"/>
        <v>24.302399999999999</v>
      </c>
      <c r="G35">
        <f t="shared" si="1"/>
        <v>0</v>
      </c>
      <c r="H35">
        <f t="shared" si="5"/>
        <v>-241.8022</v>
      </c>
      <c r="I35">
        <f t="shared" si="2"/>
        <v>0</v>
      </c>
    </row>
    <row r="36" spans="1:9" x14ac:dyDescent="0.2">
      <c r="A36" s="1">
        <v>39207</v>
      </c>
      <c r="B36">
        <v>9.09</v>
      </c>
      <c r="D36">
        <f t="shared" si="4"/>
        <v>135.79999999999998</v>
      </c>
      <c r="E36">
        <f>$M$2*(B36-$M$3)</f>
        <v>33.269399999999997</v>
      </c>
      <c r="F36">
        <f t="shared" si="0"/>
        <v>33.269399999999997</v>
      </c>
      <c r="G36">
        <f t="shared" si="1"/>
        <v>0</v>
      </c>
      <c r="H36">
        <f t="shared" si="5"/>
        <v>-266.1046</v>
      </c>
      <c r="I36">
        <f t="shared" si="2"/>
        <v>0</v>
      </c>
    </row>
    <row r="37" spans="1:9" x14ac:dyDescent="0.2">
      <c r="A37" s="1">
        <v>39208</v>
      </c>
      <c r="B37" s="2">
        <v>9.08</v>
      </c>
      <c r="D37">
        <f t="shared" si="4"/>
        <v>135.79999999999998</v>
      </c>
      <c r="E37">
        <f>$M$2*(B37-$M$3)</f>
        <v>33.232800000000005</v>
      </c>
      <c r="F37">
        <f t="shared" si="0"/>
        <v>33.232800000000005</v>
      </c>
      <c r="G37">
        <f t="shared" si="1"/>
        <v>0</v>
      </c>
      <c r="H37">
        <f t="shared" si="5"/>
        <v>-299.37400000000002</v>
      </c>
      <c r="I37">
        <f t="shared" si="2"/>
        <v>0</v>
      </c>
    </row>
    <row r="38" spans="1:9" x14ac:dyDescent="0.2">
      <c r="A38" s="1">
        <v>39209</v>
      </c>
      <c r="B38" s="2">
        <v>5.25</v>
      </c>
      <c r="D38">
        <f t="shared" si="4"/>
        <v>135.79999999999998</v>
      </c>
      <c r="E38">
        <f>$M$2*(B38-$M$3)</f>
        <v>19.215</v>
      </c>
      <c r="F38">
        <f t="shared" si="0"/>
        <v>19.215</v>
      </c>
      <c r="G38">
        <f t="shared" si="1"/>
        <v>0</v>
      </c>
      <c r="H38">
        <f t="shared" si="5"/>
        <v>-332.60680000000002</v>
      </c>
      <c r="I38">
        <f t="shared" si="2"/>
        <v>0</v>
      </c>
    </row>
    <row r="39" spans="1:9" x14ac:dyDescent="0.2">
      <c r="A39" s="1">
        <v>39210</v>
      </c>
      <c r="B39" s="2">
        <v>5.61</v>
      </c>
      <c r="D39">
        <f t="shared" si="4"/>
        <v>135.79999999999998</v>
      </c>
      <c r="E39">
        <f>$M$2*(B39-$M$3)</f>
        <v>20.532600000000002</v>
      </c>
      <c r="F39">
        <f t="shared" si="0"/>
        <v>20.532600000000002</v>
      </c>
      <c r="G39">
        <f t="shared" si="1"/>
        <v>0</v>
      </c>
      <c r="H39">
        <f t="shared" si="5"/>
        <v>-351.8218</v>
      </c>
      <c r="I39">
        <f t="shared" si="2"/>
        <v>0</v>
      </c>
    </row>
    <row r="40" spans="1:9" x14ac:dyDescent="0.2">
      <c r="A40" s="1">
        <v>39211</v>
      </c>
      <c r="B40">
        <v>3.25</v>
      </c>
      <c r="D40">
        <f t="shared" si="4"/>
        <v>135.79999999999998</v>
      </c>
      <c r="E40">
        <f>$M$2*(B40-$M$3)</f>
        <v>11.895</v>
      </c>
      <c r="F40">
        <f t="shared" si="0"/>
        <v>11.895</v>
      </c>
      <c r="G40">
        <f t="shared" si="1"/>
        <v>0</v>
      </c>
      <c r="H40">
        <f t="shared" si="5"/>
        <v>-372.3544</v>
      </c>
      <c r="I40">
        <f t="shared" si="2"/>
        <v>0</v>
      </c>
    </row>
    <row r="41" spans="1:9" x14ac:dyDescent="0.2">
      <c r="A41" s="1">
        <v>39212</v>
      </c>
      <c r="B41" s="2">
        <v>6.09</v>
      </c>
      <c r="D41">
        <f t="shared" si="4"/>
        <v>135.79999999999998</v>
      </c>
      <c r="E41">
        <f>$M$2*(B41-$M$3)</f>
        <v>22.289400000000001</v>
      </c>
      <c r="F41">
        <f t="shared" si="0"/>
        <v>22.289400000000001</v>
      </c>
      <c r="G41">
        <f t="shared" si="1"/>
        <v>0</v>
      </c>
      <c r="H41">
        <f t="shared" si="5"/>
        <v>-384.24939999999998</v>
      </c>
      <c r="I41">
        <f t="shared" si="2"/>
        <v>0</v>
      </c>
    </row>
    <row r="42" spans="1:9" x14ac:dyDescent="0.2">
      <c r="A42" s="1">
        <v>39213</v>
      </c>
      <c r="B42" s="2">
        <v>9.09</v>
      </c>
      <c r="D42">
        <f t="shared" si="4"/>
        <v>135.79999999999998</v>
      </c>
      <c r="E42">
        <f>$M$2*(B42-$M$3)</f>
        <v>33.269399999999997</v>
      </c>
      <c r="F42">
        <f t="shared" si="0"/>
        <v>33.269399999999997</v>
      </c>
      <c r="G42">
        <f t="shared" si="1"/>
        <v>0</v>
      </c>
      <c r="H42">
        <f t="shared" si="5"/>
        <v>-406.53879999999998</v>
      </c>
      <c r="I42">
        <f t="shared" si="2"/>
        <v>0</v>
      </c>
    </row>
    <row r="43" spans="1:9" x14ac:dyDescent="0.2">
      <c r="A43" s="1">
        <v>39214</v>
      </c>
      <c r="B43" s="2">
        <v>8.9600000000000009</v>
      </c>
      <c r="D43">
        <f t="shared" si="4"/>
        <v>135.79999999999998</v>
      </c>
      <c r="E43">
        <f>$M$2*(B43-$M$3)</f>
        <v>32.793600000000005</v>
      </c>
      <c r="F43">
        <f t="shared" si="0"/>
        <v>32.793600000000005</v>
      </c>
      <c r="G43">
        <f t="shared" si="1"/>
        <v>0</v>
      </c>
      <c r="H43">
        <f t="shared" si="5"/>
        <v>-439.8082</v>
      </c>
      <c r="I43">
        <f t="shared" si="2"/>
        <v>0</v>
      </c>
    </row>
    <row r="44" spans="1:9" x14ac:dyDescent="0.2">
      <c r="A44" s="1">
        <v>39215</v>
      </c>
      <c r="B44" s="2">
        <v>10.98</v>
      </c>
      <c r="D44">
        <f t="shared" si="4"/>
        <v>135.79999999999998</v>
      </c>
      <c r="E44">
        <f>$M$2*(B44-$M$3)</f>
        <v>40.186800000000005</v>
      </c>
      <c r="F44">
        <f t="shared" si="0"/>
        <v>40.186800000000005</v>
      </c>
      <c r="G44">
        <f t="shared" si="1"/>
        <v>0</v>
      </c>
      <c r="H44">
        <f t="shared" si="5"/>
        <v>-472.60180000000003</v>
      </c>
      <c r="I44">
        <f t="shared" si="2"/>
        <v>0</v>
      </c>
    </row>
    <row r="45" spans="1:9" x14ac:dyDescent="0.2">
      <c r="A45" s="1">
        <v>39216</v>
      </c>
      <c r="B45">
        <v>12.3</v>
      </c>
      <c r="D45">
        <f t="shared" si="4"/>
        <v>135.79999999999998</v>
      </c>
      <c r="E45">
        <f>$M$2*(B45-$M$3)</f>
        <v>45.018000000000008</v>
      </c>
      <c r="F45">
        <f t="shared" si="0"/>
        <v>45.018000000000008</v>
      </c>
      <c r="G45">
        <f t="shared" si="1"/>
        <v>0</v>
      </c>
      <c r="H45">
        <f t="shared" si="5"/>
        <v>-512.78860000000009</v>
      </c>
      <c r="I45">
        <f t="shared" si="2"/>
        <v>0</v>
      </c>
    </row>
    <row r="46" spans="1:9" x14ac:dyDescent="0.2">
      <c r="A46" s="1">
        <v>39217</v>
      </c>
      <c r="B46" s="2">
        <v>15.43</v>
      </c>
      <c r="D46">
        <f t="shared" si="4"/>
        <v>135.79999999999998</v>
      </c>
      <c r="E46">
        <f>$M$2*(B46-$M$3)</f>
        <v>56.473800000000004</v>
      </c>
      <c r="F46">
        <f t="shared" si="0"/>
        <v>56.473800000000004</v>
      </c>
      <c r="G46">
        <f t="shared" si="1"/>
        <v>0</v>
      </c>
      <c r="H46">
        <f t="shared" si="5"/>
        <v>-557.80660000000012</v>
      </c>
      <c r="I46">
        <f t="shared" si="2"/>
        <v>0</v>
      </c>
    </row>
    <row r="47" spans="1:9" x14ac:dyDescent="0.2">
      <c r="A47" s="1">
        <v>39218</v>
      </c>
      <c r="B47" s="2">
        <v>18.07</v>
      </c>
      <c r="D47">
        <f t="shared" si="4"/>
        <v>135.79999999999998</v>
      </c>
      <c r="E47">
        <f>$M$2*(B47-$M$3)</f>
        <v>66.136200000000002</v>
      </c>
      <c r="F47">
        <f t="shared" si="0"/>
        <v>66.136200000000002</v>
      </c>
      <c r="G47">
        <f t="shared" si="1"/>
        <v>0</v>
      </c>
      <c r="H47">
        <f t="shared" si="5"/>
        <v>-614.2804000000001</v>
      </c>
      <c r="I47">
        <f t="shared" si="2"/>
        <v>0</v>
      </c>
    </row>
    <row r="48" spans="1:9" x14ac:dyDescent="0.2">
      <c r="A48" s="1">
        <v>39219</v>
      </c>
      <c r="B48" s="2">
        <v>14.51</v>
      </c>
      <c r="D48">
        <f t="shared" si="4"/>
        <v>135.79999999999998</v>
      </c>
      <c r="E48">
        <f>$M$2*(B48-$M$3)</f>
        <v>53.1066</v>
      </c>
      <c r="F48">
        <f t="shared" si="0"/>
        <v>53.1066</v>
      </c>
      <c r="G48">
        <f t="shared" si="1"/>
        <v>0</v>
      </c>
      <c r="H48">
        <f t="shared" si="5"/>
        <v>-680.41660000000013</v>
      </c>
      <c r="I48">
        <f t="shared" si="2"/>
        <v>0</v>
      </c>
    </row>
    <row r="49" spans="1:9" x14ac:dyDescent="0.2">
      <c r="A49" s="1">
        <v>39220</v>
      </c>
      <c r="B49" s="2">
        <v>14.02</v>
      </c>
      <c r="D49">
        <f t="shared" si="4"/>
        <v>135.79999999999998</v>
      </c>
      <c r="E49">
        <f>$M$2*(B49-$M$3)</f>
        <v>51.313200000000002</v>
      </c>
      <c r="F49">
        <f t="shared" si="0"/>
        <v>51.313200000000002</v>
      </c>
      <c r="G49">
        <f t="shared" si="1"/>
        <v>0</v>
      </c>
      <c r="H49">
        <f t="shared" si="5"/>
        <v>-733.52320000000009</v>
      </c>
      <c r="I49">
        <f t="shared" si="2"/>
        <v>0</v>
      </c>
    </row>
    <row r="50" spans="1:9" x14ac:dyDescent="0.2">
      <c r="A50" s="1">
        <v>39221</v>
      </c>
      <c r="B50" s="2">
        <v>9.19</v>
      </c>
      <c r="D50">
        <f t="shared" si="4"/>
        <v>135.79999999999998</v>
      </c>
      <c r="E50">
        <f>$M$2*(B50-$M$3)</f>
        <v>33.635399999999997</v>
      </c>
      <c r="F50">
        <f t="shared" si="0"/>
        <v>33.635399999999997</v>
      </c>
      <c r="G50">
        <f t="shared" si="1"/>
        <v>0</v>
      </c>
      <c r="H50">
        <f t="shared" si="5"/>
        <v>-784.83640000000014</v>
      </c>
      <c r="I50">
        <f t="shared" si="2"/>
        <v>0</v>
      </c>
    </row>
    <row r="51" spans="1:9" x14ac:dyDescent="0.2">
      <c r="A51" s="1">
        <v>39222</v>
      </c>
      <c r="B51" s="2">
        <v>10.54</v>
      </c>
      <c r="D51">
        <f t="shared" si="4"/>
        <v>135.79999999999998</v>
      </c>
      <c r="E51">
        <f>$M$2*(B51-$M$3)</f>
        <v>38.5764</v>
      </c>
      <c r="F51">
        <f t="shared" si="0"/>
        <v>38.5764</v>
      </c>
      <c r="G51">
        <f t="shared" si="1"/>
        <v>0</v>
      </c>
      <c r="H51">
        <f t="shared" si="5"/>
        <v>-818.47180000000014</v>
      </c>
      <c r="I51">
        <f t="shared" si="2"/>
        <v>0</v>
      </c>
    </row>
    <row r="52" spans="1:9" x14ac:dyDescent="0.2">
      <c r="A52" s="1">
        <v>39223</v>
      </c>
      <c r="B52" s="2">
        <v>13.2</v>
      </c>
      <c r="D52">
        <f t="shared" si="4"/>
        <v>135.79999999999998</v>
      </c>
      <c r="E52">
        <f>$M$2*(B52-$M$3)</f>
        <v>48.311999999999998</v>
      </c>
      <c r="F52">
        <f t="shared" si="0"/>
        <v>48.311999999999998</v>
      </c>
      <c r="G52">
        <f t="shared" si="1"/>
        <v>0</v>
      </c>
      <c r="H52">
        <f t="shared" si="5"/>
        <v>-857.04820000000018</v>
      </c>
      <c r="I52">
        <f t="shared" si="2"/>
        <v>0</v>
      </c>
    </row>
    <row r="53" spans="1:9" x14ac:dyDescent="0.2">
      <c r="A53" s="1">
        <v>39224</v>
      </c>
      <c r="B53" s="2">
        <v>12.4</v>
      </c>
      <c r="D53">
        <f t="shared" si="4"/>
        <v>135.79999999999998</v>
      </c>
      <c r="E53">
        <f>$M$2*(B53-$M$3)</f>
        <v>45.384</v>
      </c>
      <c r="F53">
        <f t="shared" si="0"/>
        <v>45.384</v>
      </c>
      <c r="G53">
        <f t="shared" si="1"/>
        <v>0</v>
      </c>
      <c r="H53">
        <f t="shared" si="5"/>
        <v>-905.36020000000019</v>
      </c>
      <c r="I53">
        <f t="shared" si="2"/>
        <v>0</v>
      </c>
    </row>
    <row r="54" spans="1:9" x14ac:dyDescent="0.2">
      <c r="A54" s="1">
        <v>39225</v>
      </c>
      <c r="B54" s="2">
        <v>13.9</v>
      </c>
      <c r="D54">
        <f t="shared" si="4"/>
        <v>135.79999999999998</v>
      </c>
      <c r="E54">
        <f>$M$2*(B54-$M$3)</f>
        <v>50.874000000000002</v>
      </c>
      <c r="F54">
        <f t="shared" si="0"/>
        <v>50.874000000000002</v>
      </c>
      <c r="G54">
        <f t="shared" si="1"/>
        <v>0</v>
      </c>
      <c r="H54">
        <f t="shared" si="5"/>
        <v>-950.74420000000021</v>
      </c>
      <c r="I54">
        <f t="shared" si="2"/>
        <v>0</v>
      </c>
    </row>
    <row r="55" spans="1:9" x14ac:dyDescent="0.2">
      <c r="A55" s="1">
        <v>39226</v>
      </c>
      <c r="B55">
        <v>15.8</v>
      </c>
      <c r="D55">
        <f t="shared" si="4"/>
        <v>135.79999999999998</v>
      </c>
      <c r="E55">
        <f>$M$2*(B55-$M$3)</f>
        <v>57.828000000000003</v>
      </c>
      <c r="F55">
        <f t="shared" si="0"/>
        <v>57.828000000000003</v>
      </c>
      <c r="G55">
        <f t="shared" si="1"/>
        <v>0</v>
      </c>
      <c r="H55">
        <f t="shared" si="5"/>
        <v>-1001.6182000000002</v>
      </c>
      <c r="I55">
        <f t="shared" si="2"/>
        <v>0</v>
      </c>
    </row>
    <row r="56" spans="1:9" x14ac:dyDescent="0.2">
      <c r="A56" s="1">
        <v>39227</v>
      </c>
      <c r="B56" s="2">
        <v>8.9</v>
      </c>
      <c r="D56">
        <f t="shared" si="4"/>
        <v>135.79999999999998</v>
      </c>
      <c r="E56">
        <f>$M$2*(B56-$M$3)</f>
        <v>32.574000000000005</v>
      </c>
      <c r="F56">
        <f t="shared" si="0"/>
        <v>32.574000000000005</v>
      </c>
      <c r="G56">
        <f t="shared" si="1"/>
        <v>0</v>
      </c>
      <c r="H56">
        <f t="shared" si="5"/>
        <v>-1059.4462000000003</v>
      </c>
      <c r="I56">
        <f t="shared" si="2"/>
        <v>0</v>
      </c>
    </row>
    <row r="57" spans="1:9" x14ac:dyDescent="0.2">
      <c r="A57" s="1">
        <v>39228</v>
      </c>
      <c r="B57" s="2">
        <v>8.9499999999999993</v>
      </c>
      <c r="D57">
        <f t="shared" si="4"/>
        <v>135.79999999999998</v>
      </c>
      <c r="E57">
        <f>$M$2*(B57-$M$3)</f>
        <v>32.756999999999998</v>
      </c>
      <c r="F57">
        <f t="shared" si="0"/>
        <v>32.756999999999998</v>
      </c>
      <c r="G57">
        <f t="shared" si="1"/>
        <v>0</v>
      </c>
      <c r="H57">
        <f t="shared" si="5"/>
        <v>-1092.0202000000004</v>
      </c>
      <c r="I57">
        <f t="shared" si="2"/>
        <v>0</v>
      </c>
    </row>
    <row r="58" spans="1:9" x14ac:dyDescent="0.2">
      <c r="A58" s="1">
        <v>39229</v>
      </c>
      <c r="B58" s="2">
        <v>12.02</v>
      </c>
      <c r="D58">
        <f t="shared" si="4"/>
        <v>135.79999999999998</v>
      </c>
      <c r="E58">
        <f>$M$2*(B58-$M$3)</f>
        <v>43.993200000000002</v>
      </c>
      <c r="F58">
        <f t="shared" si="0"/>
        <v>43.993200000000002</v>
      </c>
      <c r="G58">
        <f t="shared" si="1"/>
        <v>0</v>
      </c>
      <c r="H58">
        <f t="shared" si="5"/>
        <v>-1124.7772000000004</v>
      </c>
      <c r="I58">
        <f t="shared" si="2"/>
        <v>0</v>
      </c>
    </row>
    <row r="59" spans="1:9" x14ac:dyDescent="0.2">
      <c r="A59" s="1">
        <v>39230</v>
      </c>
      <c r="B59" s="2">
        <v>13.47</v>
      </c>
      <c r="D59">
        <f t="shared" si="4"/>
        <v>135.79999999999998</v>
      </c>
      <c r="E59">
        <f>$M$2*(B59-$M$3)</f>
        <v>49.300200000000004</v>
      </c>
      <c r="F59">
        <f t="shared" si="0"/>
        <v>49.300200000000004</v>
      </c>
      <c r="G59">
        <f t="shared" si="1"/>
        <v>0</v>
      </c>
      <c r="H59">
        <f t="shared" si="5"/>
        <v>-1168.7704000000003</v>
      </c>
      <c r="I59">
        <f t="shared" si="2"/>
        <v>0</v>
      </c>
    </row>
    <row r="60" spans="1:9" x14ac:dyDescent="0.2">
      <c r="A60" s="1">
        <v>39231</v>
      </c>
      <c r="B60" s="2">
        <v>16.739999999999998</v>
      </c>
      <c r="D60">
        <f t="shared" si="4"/>
        <v>135.79999999999998</v>
      </c>
      <c r="E60">
        <f>$M$2*(B60-$M$3)</f>
        <v>61.2684</v>
      </c>
      <c r="F60">
        <f t="shared" si="0"/>
        <v>61.2684</v>
      </c>
      <c r="G60">
        <f t="shared" si="1"/>
        <v>0</v>
      </c>
      <c r="H60">
        <f t="shared" si="5"/>
        <v>-1218.0706000000002</v>
      </c>
      <c r="I60">
        <f t="shared" si="2"/>
        <v>0</v>
      </c>
    </row>
    <row r="61" spans="1:9" x14ac:dyDescent="0.2">
      <c r="A61" s="1">
        <v>39232</v>
      </c>
      <c r="B61" s="2">
        <v>15.7</v>
      </c>
      <c r="D61">
        <f t="shared" si="4"/>
        <v>135.79999999999998</v>
      </c>
      <c r="E61">
        <f>$M$2*(B61-$M$3)</f>
        <v>57.461999999999996</v>
      </c>
      <c r="F61">
        <f t="shared" si="0"/>
        <v>57.461999999999996</v>
      </c>
      <c r="G61">
        <f t="shared" si="1"/>
        <v>0</v>
      </c>
      <c r="H61">
        <f t="shared" si="5"/>
        <v>-1279.3390000000002</v>
      </c>
      <c r="I61">
        <f t="shared" si="2"/>
        <v>0</v>
      </c>
    </row>
    <row r="62" spans="1:9" x14ac:dyDescent="0.2">
      <c r="A62" s="1">
        <v>39233</v>
      </c>
      <c r="B62" s="2">
        <v>14.11</v>
      </c>
      <c r="D62">
        <f t="shared" si="4"/>
        <v>135.79999999999998</v>
      </c>
      <c r="E62">
        <f>$M$2*(B62-$M$3)</f>
        <v>51.642600000000002</v>
      </c>
      <c r="F62">
        <f t="shared" si="0"/>
        <v>51.642600000000002</v>
      </c>
      <c r="G62">
        <f t="shared" si="1"/>
        <v>0</v>
      </c>
      <c r="H62">
        <f t="shared" si="5"/>
        <v>-1336.8010000000002</v>
      </c>
      <c r="I62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2007_AirTemp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Ireson, Andrew</dc:creator>
  <cp:lastModifiedBy>Ireson, Andrew</cp:lastModifiedBy>
  <dcterms:created xsi:type="dcterms:W3CDTF">2025-11-11T22:23:06Z</dcterms:created>
  <dcterms:modified xsi:type="dcterms:W3CDTF">2025-11-12T02:57:39Z</dcterms:modified>
</cp:coreProperties>
</file>